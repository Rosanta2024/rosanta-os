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 BARRA" sheetId="2" state="visible" r:id="rId4"/>
    <sheet name="DETALLE COCIN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<sst xmlns="http://schemas.openxmlformats.org/spreadsheetml/2006/main" count="413" uniqueCount="364">
  <si>
    <t xml:space="preserve">CORSAGA, S.A. - ROSANTA</t>
  </si>
  <si>
    <t xml:space="preserve">Cierre de Inventario</t>
  </si>
  <si>
    <t xml:space="preserve">Periodo: Mayo 2026</t>
  </si>
  <si>
    <t xml:space="preserve">Fecha de cierre: 31/05/2026</t>
  </si>
  <si>
    <t xml:space="preserve">INVENTARIO BARRA</t>
  </si>
  <si>
    <t xml:space="preserve">Existencia (Q)</t>
  </si>
  <si>
    <t xml:space="preserve">Rones</t>
  </si>
  <si>
    <t xml:space="preserve">Whisky / Bourbon</t>
  </si>
  <si>
    <t xml:space="preserve">Vodka</t>
  </si>
  <si>
    <t xml:space="preserve">Gin</t>
  </si>
  <si>
    <t xml:space="preserve">Tequila / Mezcal</t>
  </si>
  <si>
    <t xml:space="preserve">Aperitivos / Digestivos</t>
  </si>
  <si>
    <t xml:space="preserve">Vinos facturados</t>
  </si>
  <si>
    <t xml:space="preserve">Cervezas y sodas</t>
  </si>
  <si>
    <t xml:space="preserve">Subtotal BARRA</t>
  </si>
  <si>
    <t xml:space="preserve">INVENTARIO COCINA</t>
  </si>
  <si>
    <t xml:space="preserve">Carnes</t>
  </si>
  <si>
    <t xml:space="preserve">Mariscos</t>
  </si>
  <si>
    <t xml:space="preserve">Aves y Lacteos</t>
  </si>
  <si>
    <t xml:space="preserve">Abarrotes</t>
  </si>
  <si>
    <t xml:space="preserve">Verduras y Especias</t>
  </si>
  <si>
    <t xml:space="preserve">Produccion Rosanta</t>
  </si>
  <si>
    <t xml:space="preserve">Doorways-Vijusa (limpieza)</t>
  </si>
  <si>
    <t xml:space="preserve">Subtotal COCINA</t>
  </si>
  <si>
    <t xml:space="preserve">GRAN TOTAL INVENTARIO</t>
  </si>
  <si>
    <t xml:space="preserve">Elaborado por: _______________________</t>
  </si>
  <si>
    <t xml:space="preserve">Revisado por: _______________________</t>
  </si>
  <si>
    <t xml:space="preserve">DETALLE INVENTARIO BARRA - CIERRE MAYO 2026</t>
  </si>
  <si>
    <t xml:space="preserve">RONES</t>
  </si>
  <si>
    <t xml:space="preserve">Producto</t>
  </si>
  <si>
    <t xml:space="preserve">Precio Unit. (Q)</t>
  </si>
  <si>
    <t xml:space="preserve">Valor en existencia (Q)</t>
  </si>
  <si>
    <t xml:space="preserve">Zacapa 23</t>
  </si>
  <si>
    <t xml:space="preserve">Zacapa XO</t>
  </si>
  <si>
    <t xml:space="preserve">Botran 12</t>
  </si>
  <si>
    <t xml:space="preserve">Botran Reserva Blanca</t>
  </si>
  <si>
    <t xml:space="preserve">Colonial</t>
  </si>
  <si>
    <t xml:space="preserve">Botran Oro</t>
  </si>
  <si>
    <t xml:space="preserve">Quezalteca</t>
  </si>
  <si>
    <t xml:space="preserve">Subtotal Rones</t>
  </si>
  <si>
    <t xml:space="preserve">WHISKY / BOURBON</t>
  </si>
  <si>
    <t xml:space="preserve">Jameson</t>
  </si>
  <si>
    <t xml:space="preserve">Old Parr</t>
  </si>
  <si>
    <t xml:space="preserve">Buchannas 12</t>
  </si>
  <si>
    <t xml:space="preserve">Buchannas 18</t>
  </si>
  <si>
    <t xml:space="preserve">Red Label</t>
  </si>
  <si>
    <t xml:space="preserve">Black Label</t>
  </si>
  <si>
    <t xml:space="preserve">Double Black</t>
  </si>
  <si>
    <t xml:space="preserve">Glenmorangie Original</t>
  </si>
  <si>
    <t xml:space="preserve">Macallan</t>
  </si>
  <si>
    <t xml:space="preserve">Gold Label</t>
  </si>
  <si>
    <t xml:space="preserve">Glenliveth</t>
  </si>
  <si>
    <t xml:space="preserve">Akashi</t>
  </si>
  <si>
    <t xml:space="preserve">Pig Nose</t>
  </si>
  <si>
    <t xml:space="preserve">Wild Turkey 81</t>
  </si>
  <si>
    <t xml:space="preserve">Wild Turkey 101</t>
  </si>
  <si>
    <t xml:space="preserve">Subtotal Whisky / Bourbon</t>
  </si>
  <si>
    <t xml:space="preserve">VODKA</t>
  </si>
  <si>
    <t xml:space="preserve">Smirnoff</t>
  </si>
  <si>
    <t xml:space="preserve">Grey Goose</t>
  </si>
  <si>
    <t xml:space="preserve">Ciroc</t>
  </si>
  <si>
    <t xml:space="preserve">Sky</t>
  </si>
  <si>
    <t xml:space="preserve">Subtotal Vodka</t>
  </si>
  <si>
    <t xml:space="preserve">GIN</t>
  </si>
  <si>
    <t xml:space="preserve">Puerto de Indias Fresa</t>
  </si>
  <si>
    <t xml:space="preserve">Puerto de Indias Rose</t>
  </si>
  <si>
    <t xml:space="preserve">Hendrix</t>
  </si>
  <si>
    <t xml:space="preserve">Gibson</t>
  </si>
  <si>
    <t xml:space="preserve">Xibal Akbal</t>
  </si>
  <si>
    <t xml:space="preserve">Subtotal Gin</t>
  </si>
  <si>
    <t xml:space="preserve">TEQUILA / MEZCAL</t>
  </si>
  <si>
    <t xml:space="preserve">1800 Cristalino</t>
  </si>
  <si>
    <t xml:space="preserve">Merendero</t>
  </si>
  <si>
    <t xml:space="preserve">Don Julio Reposado</t>
  </si>
  <si>
    <t xml:space="preserve">Don Julio Blanco</t>
  </si>
  <si>
    <t xml:space="preserve">Don Julio 70</t>
  </si>
  <si>
    <t xml:space="preserve">Fregon</t>
  </si>
  <si>
    <t xml:space="preserve">Mezcal Verde</t>
  </si>
  <si>
    <t xml:space="preserve">Cupreata</t>
  </si>
  <si>
    <t xml:space="preserve">Tobasiche</t>
  </si>
  <si>
    <t xml:space="preserve">Alipus</t>
  </si>
  <si>
    <t xml:space="preserve">Subtotal Tequila / Mezcal</t>
  </si>
  <si>
    <t xml:space="preserve">APERITIVOS / DIGESTIVOS</t>
  </si>
  <si>
    <t xml:space="preserve">Yzaguirre Reserva</t>
  </si>
  <si>
    <t xml:space="preserve">Yzaguirre Rojo</t>
  </si>
  <si>
    <t xml:space="preserve">Campari</t>
  </si>
  <si>
    <t xml:space="preserve">Aperol</t>
  </si>
  <si>
    <t xml:space="preserve">Villa Cardea</t>
  </si>
  <si>
    <t xml:space="preserve">Cinzano Rosso</t>
  </si>
  <si>
    <t xml:space="preserve">Kalhua</t>
  </si>
  <si>
    <t xml:space="preserve">Licor 43</t>
  </si>
  <si>
    <t xml:space="preserve">Licor Chocolate</t>
  </si>
  <si>
    <t xml:space="preserve">Amaretto Cream</t>
  </si>
  <si>
    <t xml:space="preserve">Cointreau</t>
  </si>
  <si>
    <t xml:space="preserve">Grand Marnier</t>
  </si>
  <si>
    <t xml:space="preserve">Cynar</t>
  </si>
  <si>
    <t xml:space="preserve">Cinzano Bianco</t>
  </si>
  <si>
    <t xml:space="preserve">Elderflower</t>
  </si>
  <si>
    <t xml:space="preserve">Subtotal Aperitivos / Digestivos</t>
  </si>
  <si>
    <t xml:space="preserve">VINOS FACTURADOS</t>
  </si>
  <si>
    <t xml:space="preserve">Mariluna Blanco</t>
  </si>
  <si>
    <t xml:space="preserve">La Val</t>
  </si>
  <si>
    <t xml:space="preserve">Cousino Chardonnay</t>
  </si>
  <si>
    <t xml:space="preserve">Pasion de Bobal</t>
  </si>
  <si>
    <t xml:space="preserve">Feeling For</t>
  </si>
  <si>
    <t xml:space="preserve">Bohigas Cava</t>
  </si>
  <si>
    <t xml:space="preserve">Bohigas Garnatxa</t>
  </si>
  <si>
    <t xml:space="preserve">Mariluna Tinto</t>
  </si>
  <si>
    <t xml:space="preserve">Cousino Cabernet</t>
  </si>
  <si>
    <t xml:space="preserve">La Linda</t>
  </si>
  <si>
    <t xml:space="preserve">Pulpe</t>
  </si>
  <si>
    <t xml:space="preserve">Sangiovese</t>
  </si>
  <si>
    <t xml:space="preserve">Real Compania</t>
  </si>
  <si>
    <t xml:space="preserve">Subtotal Vinos facturados</t>
  </si>
  <si>
    <t xml:space="preserve">CERVEZAS Y SODAS</t>
  </si>
  <si>
    <t xml:space="preserve">Gallo</t>
  </si>
  <si>
    <t xml:space="preserve">Gallo lata</t>
  </si>
  <si>
    <t xml:space="preserve">Cabro</t>
  </si>
  <si>
    <t xml:space="preserve">Monte Carlo</t>
  </si>
  <si>
    <t xml:space="preserve">Sin Novia</t>
  </si>
  <si>
    <t xml:space="preserve">Muy Noble</t>
  </si>
  <si>
    <t xml:space="preserve">Stangen</t>
  </si>
  <si>
    <t xml:space="preserve">Weissbeer</t>
  </si>
  <si>
    <t xml:space="preserve">IPA</t>
  </si>
  <si>
    <t xml:space="preserve">Golden Ale</t>
  </si>
  <si>
    <t xml:space="preserve">Coca Cola Cero</t>
  </si>
  <si>
    <t xml:space="preserve">Coca Cola Regular</t>
  </si>
  <si>
    <t xml:space="preserve">Club Soda</t>
  </si>
  <si>
    <t xml:space="preserve">Tonica</t>
  </si>
  <si>
    <t xml:space="preserve">Pulpa Maracuya</t>
  </si>
  <si>
    <t xml:space="preserve">Pulpa Mandarina</t>
  </si>
  <si>
    <t xml:space="preserve">Subtotal Cervezas y sodas</t>
  </si>
  <si>
    <t xml:space="preserve">DETALLE INVENTARIO COCINA - CIERRE MAYO 2026</t>
  </si>
  <si>
    <t xml:space="preserve">CARNES</t>
  </si>
  <si>
    <t xml:space="preserve">Existencia</t>
  </si>
  <si>
    <t xml:space="preserve">Precio (Q)</t>
  </si>
  <si>
    <t xml:space="preserve">Valor (Q)</t>
  </si>
  <si>
    <t xml:space="preserve">Lomito</t>
  </si>
  <si>
    <t xml:space="preserve">Lomito hamburguesa</t>
  </si>
  <si>
    <t xml:space="preserve">Lomito carpaccio</t>
  </si>
  <si>
    <t xml:space="preserve">Brisket</t>
  </si>
  <si>
    <t xml:space="preserve">Puyazo</t>
  </si>
  <si>
    <t xml:space="preserve">Entrana</t>
  </si>
  <si>
    <t xml:space="preserve">Rib Eye</t>
  </si>
  <si>
    <t xml:space="preserve">Costilla</t>
  </si>
  <si>
    <t xml:space="preserve">Costilla porcion</t>
  </si>
  <si>
    <t xml:space="preserve">Tocino</t>
  </si>
  <si>
    <t xml:space="preserve">Tablas de jamones</t>
  </si>
  <si>
    <t xml:space="preserve">Subtotal Carnes</t>
  </si>
  <si>
    <t xml:space="preserve">MARISCOS</t>
  </si>
  <si>
    <t xml:space="preserve">Robalo</t>
  </si>
  <si>
    <t xml:space="preserve">Dorado</t>
  </si>
  <si>
    <t xml:space="preserve">Dorado porcion</t>
  </si>
  <si>
    <t xml:space="preserve">Pargo</t>
  </si>
  <si>
    <t xml:space="preserve">Atun</t>
  </si>
  <si>
    <t xml:space="preserve">Pulpo</t>
  </si>
  <si>
    <t xml:space="preserve">Pulpo porcion</t>
  </si>
  <si>
    <t xml:space="preserve">Camaron U10</t>
  </si>
  <si>
    <t xml:space="preserve">Camaron porcion</t>
  </si>
  <si>
    <t xml:space="preserve">Subtotal Mariscos</t>
  </si>
  <si>
    <t xml:space="preserve">AVES Y LACTEOS</t>
  </si>
  <si>
    <t xml:space="preserve">Pechuga de pollo</t>
  </si>
  <si>
    <t xml:space="preserve">Pechuga de pollo porcion</t>
  </si>
  <si>
    <t xml:space="preserve">Huevos</t>
  </si>
  <si>
    <t xml:space="preserve">Camembert</t>
  </si>
  <si>
    <t xml:space="preserve">Camembert empanizado</t>
  </si>
  <si>
    <t xml:space="preserve">Camembert tabla</t>
  </si>
  <si>
    <t xml:space="preserve">Mozarella</t>
  </si>
  <si>
    <t xml:space="preserve">Parmezano</t>
  </si>
  <si>
    <t xml:space="preserve">Crema granel</t>
  </si>
  <si>
    <t xml:space="preserve">Labneh</t>
  </si>
  <si>
    <t xml:space="preserve">Mantequilla</t>
  </si>
  <si>
    <t xml:space="preserve">Parmezano Parma</t>
  </si>
  <si>
    <t xml:space="preserve">Queso Stilton</t>
  </si>
  <si>
    <t xml:space="preserve">Queso Tomino</t>
  </si>
  <si>
    <t xml:space="preserve">Queso Taleggio</t>
  </si>
  <si>
    <t xml:space="preserve">Queso crema</t>
  </si>
  <si>
    <t xml:space="preserve">Leche condensada</t>
  </si>
  <si>
    <t xml:space="preserve">Leche entera</t>
  </si>
  <si>
    <t xml:space="preserve">Subtotal Aves y Lacteos</t>
  </si>
  <si>
    <t xml:space="preserve">ABARROTES</t>
  </si>
  <si>
    <t xml:space="preserve">Aceite de Ajonjoli</t>
  </si>
  <si>
    <t xml:space="preserve">Aceite Vegetal</t>
  </si>
  <si>
    <t xml:space="preserve">Aceite de Oliva</t>
  </si>
  <si>
    <t xml:space="preserve">Alcaparras Baby</t>
  </si>
  <si>
    <t xml:space="preserve">Arroz</t>
  </si>
  <si>
    <t xml:space="preserve">Azucar Blanca</t>
  </si>
  <si>
    <t xml:space="preserve">Cocoa amarga</t>
  </si>
  <si>
    <t xml:space="preserve">Cous Cous</t>
  </si>
  <si>
    <t xml:space="preserve">Gas Butano</t>
  </si>
  <si>
    <t xml:space="preserve">Gelatina sin sabor</t>
  </si>
  <si>
    <t xml:space="preserve">Harina</t>
  </si>
  <si>
    <t xml:space="preserve">Levadura</t>
  </si>
  <si>
    <t xml:space="preserve">Mantequilla de Mani</t>
  </si>
  <si>
    <t xml:space="preserve">Miel</t>
  </si>
  <si>
    <t xml:space="preserve">Miel de Maple</t>
  </si>
  <si>
    <t xml:space="preserve">Nutella</t>
  </si>
  <si>
    <t xml:space="preserve">Paprika</t>
  </si>
  <si>
    <t xml:space="preserve">Pimienta Negra</t>
  </si>
  <si>
    <t xml:space="preserve">Pimienta Gorda</t>
  </si>
  <si>
    <t xml:space="preserve">Polvo para hornear</t>
  </si>
  <si>
    <t xml:space="preserve">Pulpa de fruta</t>
  </si>
  <si>
    <t xml:space="preserve">Quinoa</t>
  </si>
  <si>
    <t xml:space="preserve">Sal Fina</t>
  </si>
  <si>
    <t xml:space="preserve">Salsa Soya</t>
  </si>
  <si>
    <t xml:space="preserve">Vainilla</t>
  </si>
  <si>
    <t xml:space="preserve">Vinagre Blanco</t>
  </si>
  <si>
    <t xml:space="preserve">Vinagre de Manzana</t>
  </si>
  <si>
    <t xml:space="preserve">Vino Blanco</t>
  </si>
  <si>
    <t xml:space="preserve">Vino Tinto</t>
  </si>
  <si>
    <t xml:space="preserve">Tofu</t>
  </si>
  <si>
    <t xml:space="preserve">Aceitunas</t>
  </si>
  <si>
    <t xml:space="preserve">Subtotal Abarrotes</t>
  </si>
  <si>
    <t xml:space="preserve">VERDURAS Y ESPECIAS</t>
  </si>
  <si>
    <t xml:space="preserve">Achiote Semilla</t>
  </si>
  <si>
    <t xml:space="preserve">Aguacate</t>
  </si>
  <si>
    <t xml:space="preserve">Ajo</t>
  </si>
  <si>
    <t xml:space="preserve">Ajonjoli</t>
  </si>
  <si>
    <t xml:space="preserve">Albahaca</t>
  </si>
  <si>
    <t xml:space="preserve">Albahaca seca</t>
  </si>
  <si>
    <t xml:space="preserve">Anis Estrella</t>
  </si>
  <si>
    <t xml:space="preserve">Apio</t>
  </si>
  <si>
    <t xml:space="preserve">Arveja Pelada</t>
  </si>
  <si>
    <t xml:space="preserve">Arugula</t>
  </si>
  <si>
    <t xml:space="preserve">Bock Choy</t>
  </si>
  <si>
    <t xml:space="preserve">Brocoli</t>
  </si>
  <si>
    <t xml:space="preserve">Brotes de Albahaca</t>
  </si>
  <si>
    <t xml:space="preserve">Brotes de Berro</t>
  </si>
  <si>
    <t xml:space="preserve">Brotes de Cilantro</t>
  </si>
  <si>
    <t xml:space="preserve">Brotes de Mostaza Roja</t>
  </si>
  <si>
    <t xml:space="preserve">Camote</t>
  </si>
  <si>
    <t xml:space="preserve">Canela</t>
  </si>
  <si>
    <t xml:space="preserve">Cardamomo Semilla</t>
  </si>
  <si>
    <t xml:space="preserve">Cardamomo Vaina</t>
  </si>
  <si>
    <t xml:space="preserve">Cebolla Blanca</t>
  </si>
  <si>
    <t xml:space="preserve">Cebolla Morada</t>
  </si>
  <si>
    <t xml:space="preserve">Cebollin</t>
  </si>
  <si>
    <t xml:space="preserve">Chile Morrones</t>
  </si>
  <si>
    <t xml:space="preserve">Cilantro</t>
  </si>
  <si>
    <t xml:space="preserve">Clavo de olor</t>
  </si>
  <si>
    <t xml:space="preserve">Cobanero en Polvo</t>
  </si>
  <si>
    <t xml:space="preserve">Comino en polvo</t>
  </si>
  <si>
    <t xml:space="preserve">Comino en semilla</t>
  </si>
  <si>
    <t xml:space="preserve">Curcuma</t>
  </si>
  <si>
    <t xml:space="preserve">Ejote</t>
  </si>
  <si>
    <t xml:space="preserve">Fresas</t>
  </si>
  <si>
    <t xml:space="preserve">Garbanzo</t>
  </si>
  <si>
    <t xml:space="preserve">Hongo Champinon</t>
  </si>
  <si>
    <t xml:space="preserve">Hongo Portobello</t>
  </si>
  <si>
    <t xml:space="preserve">Jengibre</t>
  </si>
  <si>
    <t xml:space="preserve">Laurel</t>
  </si>
  <si>
    <t xml:space="preserve">Lechuga Mixta</t>
  </si>
  <si>
    <t xml:space="preserve">Lemon grass</t>
  </si>
  <si>
    <t xml:space="preserve">Limon</t>
  </si>
  <si>
    <t xml:space="preserve">Malanga</t>
  </si>
  <si>
    <t xml:space="preserve">Manzanas</t>
  </si>
  <si>
    <t xml:space="preserve">Melocotones</t>
  </si>
  <si>
    <t xml:space="preserve">Miltomate</t>
  </si>
  <si>
    <t xml:space="preserve">Naranja</t>
  </si>
  <si>
    <t xml:space="preserve">Naranja importada</t>
  </si>
  <si>
    <t xml:space="preserve">Naranja nacional</t>
  </si>
  <si>
    <t xml:space="preserve">Oregano</t>
  </si>
  <si>
    <t xml:space="preserve">Oregano seco</t>
  </si>
  <si>
    <t xml:space="preserve">Papa</t>
  </si>
  <si>
    <t xml:space="preserve">Papita</t>
  </si>
  <si>
    <t xml:space="preserve">Pepinillos</t>
  </si>
  <si>
    <t xml:space="preserve">Pepino</t>
  </si>
  <si>
    <t xml:space="preserve">Pepitoria</t>
  </si>
  <si>
    <t xml:space="preserve">Peras</t>
  </si>
  <si>
    <t xml:space="preserve">Perejil</t>
  </si>
  <si>
    <t xml:space="preserve">Pimienta Rosa</t>
  </si>
  <si>
    <t xml:space="preserve">Pimienta Verde</t>
  </si>
  <si>
    <t xml:space="preserve">Pistacho</t>
  </si>
  <si>
    <t xml:space="preserve">Platanos</t>
  </si>
  <si>
    <t xml:space="preserve">Rabano</t>
  </si>
  <si>
    <t xml:space="preserve">Remolachas</t>
  </si>
  <si>
    <t xml:space="preserve">Sal de Ajo</t>
  </si>
  <si>
    <t xml:space="preserve">Sal de Cebolla</t>
  </si>
  <si>
    <t xml:space="preserve">Semilla de Mostaza</t>
  </si>
  <si>
    <t xml:space="preserve">Tomate Cherry</t>
  </si>
  <si>
    <t xml:space="preserve">Tomate Ciruelo</t>
  </si>
  <si>
    <t xml:space="preserve">Tomate manzano</t>
  </si>
  <si>
    <t xml:space="preserve">Uvas</t>
  </si>
  <si>
    <t xml:space="preserve">Yuca</t>
  </si>
  <si>
    <t xml:space="preserve">Zanahoria baby</t>
  </si>
  <si>
    <t xml:space="preserve">Zanahorias</t>
  </si>
  <si>
    <t xml:space="preserve">Zuquini Verde</t>
  </si>
  <si>
    <t xml:space="preserve">Subtotal Verduras y Especias</t>
  </si>
  <si>
    <t xml:space="preserve">PRODUCCION ROSANTA</t>
  </si>
  <si>
    <t xml:space="preserve">Rabanos encurtidos</t>
  </si>
  <si>
    <t xml:space="preserve">Melocotones macerados</t>
  </si>
  <si>
    <t xml:space="preserve">Chips de malanga</t>
  </si>
  <si>
    <t xml:space="preserve">Vinagreta</t>
  </si>
  <si>
    <t xml:space="preserve">Fresas maceradas</t>
  </si>
  <si>
    <t xml:space="preserve">Compota de tomate</t>
  </si>
  <si>
    <t xml:space="preserve">Mermelada de cebolla</t>
  </si>
  <si>
    <t xml:space="preserve">Papa baby cocida</t>
  </si>
  <si>
    <t xml:space="preserve">Pure de Arveja</t>
  </si>
  <si>
    <t xml:space="preserve">Mayonesa de hierba luisa</t>
  </si>
  <si>
    <t xml:space="preserve">Supremas de Naranja</t>
  </si>
  <si>
    <t xml:space="preserve">Tomates rostizados</t>
  </si>
  <si>
    <t xml:space="preserve">Aceite de albahaca</t>
  </si>
  <si>
    <t xml:space="preserve">Salsa Romesca</t>
  </si>
  <si>
    <t xml:space="preserve">Coliflor cocido</t>
  </si>
  <si>
    <t xml:space="preserve">Pan de Hamburguesas</t>
  </si>
  <si>
    <t xml:space="preserve">Pan de la casa</t>
  </si>
  <si>
    <t xml:space="preserve">Ketchup</t>
  </si>
  <si>
    <t xml:space="preserve">Mayonesa de Aguacate</t>
  </si>
  <si>
    <t xml:space="preserve">Papas Pre fritas</t>
  </si>
  <si>
    <t xml:space="preserve">Chips de camote</t>
  </si>
  <si>
    <t xml:space="preserve">Picante</t>
  </si>
  <si>
    <t xml:space="preserve">Arroz Porcionado</t>
  </si>
  <si>
    <t xml:space="preserve">Pepino Cortado</t>
  </si>
  <si>
    <t xml:space="preserve">Cebolla pluma</t>
  </si>
  <si>
    <t xml:space="preserve">Aderezo de mantequilla de Mani</t>
  </si>
  <si>
    <t xml:space="preserve">Garbanzo Porcionado</t>
  </si>
  <si>
    <t xml:space="preserve">Aderezo de chile Pimiento</t>
  </si>
  <si>
    <t xml:space="preserve">Quinoa Porcionada</t>
  </si>
  <si>
    <t xml:space="preserve">Elote Asado</t>
  </si>
  <si>
    <t xml:space="preserve">Alioli de Cilantro</t>
  </si>
  <si>
    <t xml:space="preserve">Tierra de Chocolate</t>
  </si>
  <si>
    <t xml:space="preserve">Carlota</t>
  </si>
  <si>
    <t xml:space="preserve">Gratin de papa</t>
  </si>
  <si>
    <t xml:space="preserve">Ajo Confitado</t>
  </si>
  <si>
    <t xml:space="preserve">Gremolata</t>
  </si>
  <si>
    <t xml:space="preserve">Zanahoria cocida</t>
  </si>
  <si>
    <t xml:space="preserve">Pure de yuca</t>
  </si>
  <si>
    <t xml:space="preserve">Cebollitas Asadas</t>
  </si>
  <si>
    <t xml:space="preserve">Cebolla Encurtida</t>
  </si>
  <si>
    <t xml:space="preserve">Brocoli Escabechado</t>
  </si>
  <si>
    <t xml:space="preserve">Crema de cobanero</t>
  </si>
  <si>
    <t xml:space="preserve">Cherry Cortado</t>
  </si>
  <si>
    <t xml:space="preserve">Cebolla morada juliana</t>
  </si>
  <si>
    <t xml:space="preserve">Ajo picado</t>
  </si>
  <si>
    <t xml:space="preserve">Pure de Camote</t>
  </si>
  <si>
    <t xml:space="preserve">Pasta dia</t>
  </si>
  <si>
    <t xml:space="preserve">Salsa Pasta</t>
  </si>
  <si>
    <t xml:space="preserve">Salsa tamarindo</t>
  </si>
  <si>
    <t xml:space="preserve">Crema de Zanahorias</t>
  </si>
  <si>
    <t xml:space="preserve">Remolachas Cocidas</t>
  </si>
  <si>
    <t xml:space="preserve">Pure de Platano</t>
  </si>
  <si>
    <t xml:space="preserve">Lingote de Yuca</t>
  </si>
  <si>
    <t xml:space="preserve">Uvas Maceradas</t>
  </si>
  <si>
    <t xml:space="preserve">Salsa Bordolesa</t>
  </si>
  <si>
    <t xml:space="preserve">Subtotal Produccion Rosanta</t>
  </si>
  <si>
    <t xml:space="preserve">DOORWAYS-VIJUSA (LIMPIEZA)</t>
  </si>
  <si>
    <t xml:space="preserve">Deosil Cat</t>
  </si>
  <si>
    <t xml:space="preserve">Visclor</t>
  </si>
  <si>
    <t xml:space="preserve">Proqui</t>
  </si>
  <si>
    <t xml:space="preserve">Tensogel</t>
  </si>
  <si>
    <t xml:space="preserve">Tensol Ultra</t>
  </si>
  <si>
    <t xml:space="preserve">Axion Crema</t>
  </si>
  <si>
    <t xml:space="preserve">Esponjas brie</t>
  </si>
  <si>
    <t xml:space="preserve">Esponjas Verdes</t>
  </si>
  <si>
    <t xml:space="preserve">Alambrinas</t>
  </si>
  <si>
    <t xml:space="preserve">Mayordomo</t>
  </si>
  <si>
    <t xml:space="preserve">Film</t>
  </si>
  <si>
    <t xml:space="preserve">Guantes Nitrilo</t>
  </si>
  <si>
    <t xml:space="preserve">Aluminio</t>
  </si>
  <si>
    <t xml:space="preserve">Bolsas basura Blanca</t>
  </si>
  <si>
    <t xml:space="preserve">Bolsas basura Extra Grande</t>
  </si>
  <si>
    <t xml:space="preserve">Cloro</t>
  </si>
  <si>
    <t xml:space="preserve">Detergente en Polvo</t>
  </si>
  <si>
    <t xml:space="preserve">Subtotal Doorways-Vijusa (limpieza)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</si>
</sst>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Q#,##0.00;&quot;(Q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4A6741"/>
      <name val="Arial"/>
      <family val="0"/>
      <charset val="1"/>
    </font>
    <font>
      <b val="true"/>
      <sz val="12"/>
      <color rgb="FF3D2B1F"/>
      <name val="Arial"/>
      <family val="0"/>
      <charset val="1"/>
    </font>
    <font>
      <sz val="11"/>
      <color rgb="FF3D2B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3D2B1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D2B1F"/>
      <name val="Arial"/>
      <family val="0"/>
      <charset val="1"/>
    </font>
    <font>
      <b val="true"/>
      <sz val="13"/>
      <color rgb="FF4A674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6741"/>
        <bgColor rgb="FF808000"/>
      </patternFill>
    </fill>
    <fill>
      <patternFill patternType="solid">
        <fgColor rgb="FFF5EFE0"/>
        <bgColor rgb="FFFFFFFF"/>
      </patternFill>
    </fill>
    <fill>
      <patternFill patternType="solid">
        <fgColor rgb="FFA0785A"/>
        <bgColor rgb="FF969696"/>
      </patternFill>
    </fill>
    <fill>
      <patternFill patternType="solid">
        <fgColor rgb="FFC9923F"/>
        <bgColor rgb="FFA0785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A0785A"/>
      <rgbColor rgb="FF9999FF"/>
      <rgbColor rgb="FF993366"/>
      <rgbColor rgb="FFF5E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23F"/>
      <rgbColor rgb="FFFF6600"/>
      <rgbColor rgb="FF4A674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2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7" customFormat="false" ht="15" hidden="false" customHeight="false" outlineLevel="0" collapsed="false">
      <c r="B7" s="4" t="s">
        <v>4</v>
      </c>
      <c r="C7" s="4" t="s">
        <v>5</v>
      </c>
    </row>
    <row r="8" customFormat="false" ht="15" hidden="false" customHeight="false" outlineLevel="0" collapsed="false">
      <c r="B8" s="5" t="s">
        <v>6</v>
      </c>
      <c r="C8" s="6" t="n">
        <f aca="false">'DETALLE BARRA'!C12</f>
        <v>1058.25</v>
      </c>
    </row>
    <row r="9" customFormat="false" ht="15" hidden="false" customHeight="false" outlineLevel="0" collapsed="false">
      <c r="B9" s="5" t="s">
        <v>7</v>
      </c>
      <c r="C9" s="6" t="n">
        <f aca="false">'DETALLE BARRA'!C31</f>
        <v>5967.9</v>
      </c>
    </row>
    <row r="10" customFormat="false" ht="15" hidden="false" customHeight="false" outlineLevel="0" collapsed="false">
      <c r="B10" s="5" t="s">
        <v>8</v>
      </c>
      <c r="C10" s="6" t="n">
        <f aca="false">'DETALLE BARRA'!C39</f>
        <v>8.5</v>
      </c>
    </row>
    <row r="11" customFormat="false" ht="15" hidden="false" customHeight="false" outlineLevel="0" collapsed="false">
      <c r="B11" s="5" t="s">
        <v>9</v>
      </c>
      <c r="C11" s="6" t="n">
        <f aca="false">'DETALLE BARRA'!C48</f>
        <v>645.65</v>
      </c>
    </row>
    <row r="12" customFormat="false" ht="15" hidden="false" customHeight="false" outlineLevel="0" collapsed="false">
      <c r="B12" s="5" t="s">
        <v>10</v>
      </c>
      <c r="C12" s="6" t="n">
        <f aca="false">'DETALLE BARRA'!C62</f>
        <v>1034.75</v>
      </c>
    </row>
    <row r="13" customFormat="false" ht="15" hidden="false" customHeight="false" outlineLevel="0" collapsed="false">
      <c r="B13" s="5" t="s">
        <v>11</v>
      </c>
      <c r="C13" s="6" t="n">
        <f aca="false">'DETALLE BARRA'!C81</f>
        <v>1715.97</v>
      </c>
    </row>
    <row r="14" customFormat="false" ht="15" hidden="false" customHeight="false" outlineLevel="0" collapsed="false">
      <c r="B14" s="5" t="s">
        <v>12</v>
      </c>
      <c r="C14" s="6" t="n">
        <f aca="false">'DETALLE BARRA'!C98</f>
        <v>3817.39</v>
      </c>
    </row>
    <row r="15" customFormat="false" ht="15" hidden="false" customHeight="false" outlineLevel="0" collapsed="false">
      <c r="B15" s="5" t="s">
        <v>13</v>
      </c>
      <c r="C15" s="6" t="n">
        <f aca="false">'DETALLE BARRA'!C118</f>
        <v>1927.35</v>
      </c>
    </row>
    <row r="16" customFormat="false" ht="15" hidden="false" customHeight="false" outlineLevel="0" collapsed="false">
      <c r="B16" s="7" t="s">
        <v>14</v>
      </c>
      <c r="C16" s="8" t="n">
        <f aca="false">SUM(C8:C15)</f>
        <v>16175.76</v>
      </c>
    </row>
    <row r="18" customFormat="false" ht="15" hidden="false" customHeight="false" outlineLevel="0" collapsed="false">
      <c r="B18" s="9" t="s">
        <v>15</v>
      </c>
      <c r="C18" s="9" t="s">
        <v>5</v>
      </c>
    </row>
    <row r="19" customFormat="false" ht="15" hidden="false" customHeight="false" outlineLevel="0" collapsed="false">
      <c r="B19" s="5" t="s">
        <v>16</v>
      </c>
      <c r="C19" s="6" t="n">
        <f aca="false">'DETALLE COCINA'!D16</f>
        <v>1402.125</v>
      </c>
    </row>
    <row r="20" customFormat="false" ht="15" hidden="false" customHeight="false" outlineLevel="0" collapsed="false">
      <c r="B20" s="5" t="s">
        <v>17</v>
      </c>
      <c r="C20" s="6" t="n">
        <f aca="false">'DETALLE COCINA'!D29</f>
        <v>316.125</v>
      </c>
    </row>
    <row r="21" customFormat="false" ht="15" hidden="false" customHeight="false" outlineLevel="0" collapsed="false">
      <c r="B21" s="5" t="s">
        <v>18</v>
      </c>
      <c r="C21" s="6" t="n">
        <f aca="false">'DETALLE COCINA'!D51</f>
        <v>1369.84</v>
      </c>
    </row>
    <row r="22" customFormat="false" ht="15" hidden="false" customHeight="false" outlineLevel="0" collapsed="false">
      <c r="B22" s="5" t="s">
        <v>19</v>
      </c>
      <c r="C22" s="6" t="n">
        <f aca="false">'DETALLE COCINA'!D86</f>
        <v>1294.06</v>
      </c>
    </row>
    <row r="23" customFormat="false" ht="15" hidden="false" customHeight="false" outlineLevel="0" collapsed="false">
      <c r="B23" s="5" t="s">
        <v>20</v>
      </c>
      <c r="C23" s="6" t="n">
        <f aca="false">'DETALLE COCINA'!D164</f>
        <v>1080.756</v>
      </c>
    </row>
    <row r="24" customFormat="false" ht="15" hidden="false" customHeight="false" outlineLevel="0" collapsed="false">
      <c r="B24" s="5" t="s">
        <v>21</v>
      </c>
      <c r="C24" s="6" t="n">
        <f aca="false">'DETALLE COCINA'!D224</f>
        <v>1982.5</v>
      </c>
    </row>
    <row r="25" customFormat="false" ht="15" hidden="false" customHeight="false" outlineLevel="0" collapsed="false">
      <c r="B25" s="5" t="s">
        <v>22</v>
      </c>
      <c r="C25" s="6" t="n">
        <f aca="false">'DETALLE COCINA'!D245</f>
        <v>1091.34</v>
      </c>
    </row>
    <row r="26" customFormat="false" ht="15" hidden="false" customHeight="false" outlineLevel="0" collapsed="false">
      <c r="B26" s="7" t="s">
        <v>23</v>
      </c>
      <c r="C26" s="8" t="n">
        <f aca="false">SUM(C19:C25)</f>
        <v>8536.746</v>
      </c>
    </row>
    <row r="28" customFormat="false" ht="15" hidden="false" customHeight="false" outlineLevel="0" collapsed="false">
      <c r="B28" s="10" t="s">
        <v>24</v>
      </c>
      <c r="C28" s="11" t="n">
        <f aca="false">C16+C26</f>
        <v>24712.506</v>
      </c>
    </row>
    <row r="31" customFormat="false" ht="15" hidden="false" customHeight="false" outlineLevel="0" collapsed="false">
      <c r="B31" s="12" t="s">
        <v>25</v>
      </c>
    </row>
    <row r="33" customFormat="false" ht="15" hidden="false" customHeight="false" outlineLevel="0" collapsed="false">
      <c r="B33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13" t="s">
        <v>27</v>
      </c>
    </row>
    <row r="3" customFormat="false" ht="15" hidden="false" customHeight="false" outlineLevel="0" collapsed="false">
      <c r="A3" s="14" t="s">
        <v>28</v>
      </c>
      <c r="B3" s="15"/>
      <c r="C3" s="15"/>
    </row>
    <row r="4" customFormat="false" ht="15" hidden="false" customHeight="false" outlineLevel="0" collapsed="false">
      <c r="A4" s="7" t="s">
        <v>29</v>
      </c>
      <c r="B4" s="7" t="s">
        <v>30</v>
      </c>
      <c r="C4" s="7" t="s">
        <v>31</v>
      </c>
    </row>
    <row r="5" customFormat="false" ht="15" hidden="false" customHeight="false" outlineLevel="0" collapsed="false">
      <c r="A5" s="16" t="s">
        <v>32</v>
      </c>
      <c r="B5" s="17" t="n">
        <v>300</v>
      </c>
      <c r="C5" s="17" t="n">
        <v>240</v>
      </c>
    </row>
    <row r="6" customFormat="false" ht="15" hidden="false" customHeight="false" outlineLevel="0" collapsed="false">
      <c r="A6" s="16" t="s">
        <v>33</v>
      </c>
      <c r="B6" s="17" t="n">
        <v>987</v>
      </c>
      <c r="C6" s="17" t="n">
        <v>0</v>
      </c>
    </row>
    <row r="7" customFormat="false" ht="15" hidden="false" customHeight="false" outlineLevel="0" collapsed="false">
      <c r="A7" s="16" t="s">
        <v>34</v>
      </c>
      <c r="B7" s="17" t="n">
        <v>84</v>
      </c>
      <c r="C7" s="17" t="n">
        <v>92.4</v>
      </c>
    </row>
    <row r="8" customFormat="false" ht="15" hidden="false" customHeight="false" outlineLevel="0" collapsed="false">
      <c r="A8" s="16" t="s">
        <v>35</v>
      </c>
      <c r="B8" s="17" t="n">
        <v>84</v>
      </c>
      <c r="C8" s="17" t="n">
        <v>54.6</v>
      </c>
    </row>
    <row r="9" customFormat="false" ht="15" hidden="false" customHeight="false" outlineLevel="0" collapsed="false">
      <c r="A9" s="16" t="s">
        <v>36</v>
      </c>
      <c r="B9" s="17" t="n">
        <v>150</v>
      </c>
      <c r="C9" s="17" t="n">
        <v>450</v>
      </c>
    </row>
    <row r="10" customFormat="false" ht="15" hidden="false" customHeight="false" outlineLevel="0" collapsed="false">
      <c r="A10" s="16" t="s">
        <v>37</v>
      </c>
      <c r="B10" s="17" t="n">
        <v>75</v>
      </c>
      <c r="C10" s="17" t="n">
        <v>131.25</v>
      </c>
    </row>
    <row r="11" customFormat="false" ht="15" hidden="false" customHeight="false" outlineLevel="0" collapsed="false">
      <c r="A11" s="16" t="s">
        <v>38</v>
      </c>
      <c r="B11" s="17" t="n">
        <v>50</v>
      </c>
      <c r="C11" s="17" t="n">
        <v>90</v>
      </c>
    </row>
    <row r="12" customFormat="false" ht="15" hidden="false" customHeight="false" outlineLevel="0" collapsed="false">
      <c r="A12" s="7" t="s">
        <v>39</v>
      </c>
      <c r="B12" s="18"/>
      <c r="C12" s="8" t="n">
        <f aca="false">SUM(C5:C11)</f>
        <v>1058.25</v>
      </c>
    </row>
    <row r="14" customFormat="false" ht="15" hidden="false" customHeight="false" outlineLevel="0" collapsed="false">
      <c r="A14" s="14" t="s">
        <v>40</v>
      </c>
      <c r="B14" s="15"/>
      <c r="C14" s="15"/>
    </row>
    <row r="15" customFormat="false" ht="15" hidden="false" customHeight="false" outlineLevel="0" collapsed="false">
      <c r="A15" s="7" t="s">
        <v>29</v>
      </c>
      <c r="B15" s="7" t="s">
        <v>30</v>
      </c>
      <c r="C15" s="7" t="s">
        <v>31</v>
      </c>
    </row>
    <row r="16" customFormat="false" ht="15" hidden="false" customHeight="false" outlineLevel="0" collapsed="false">
      <c r="A16" s="16" t="s">
        <v>41</v>
      </c>
      <c r="B16" s="17" t="n">
        <v>188</v>
      </c>
      <c r="C16" s="17" t="n">
        <v>37.6</v>
      </c>
    </row>
    <row r="17" customFormat="false" ht="15" hidden="false" customHeight="false" outlineLevel="0" collapsed="false">
      <c r="A17" s="16" t="s">
        <v>42</v>
      </c>
      <c r="B17" s="17" t="n">
        <v>321.46</v>
      </c>
      <c r="C17" s="17" t="n">
        <v>16.07</v>
      </c>
    </row>
    <row r="18" customFormat="false" ht="15" hidden="false" customHeight="false" outlineLevel="0" collapsed="false">
      <c r="A18" s="16" t="s">
        <v>43</v>
      </c>
      <c r="B18" s="17" t="n">
        <v>375</v>
      </c>
      <c r="C18" s="17" t="n">
        <v>300</v>
      </c>
    </row>
    <row r="19" customFormat="false" ht="15" hidden="false" customHeight="false" outlineLevel="0" collapsed="false">
      <c r="A19" s="16" t="s">
        <v>44</v>
      </c>
      <c r="B19" s="17" t="n">
        <v>907.92</v>
      </c>
      <c r="C19" s="17" t="n">
        <v>907.92</v>
      </c>
    </row>
    <row r="20" customFormat="false" ht="15" hidden="false" customHeight="false" outlineLevel="0" collapsed="false">
      <c r="A20" s="16" t="s">
        <v>45</v>
      </c>
      <c r="B20" s="17" t="n">
        <v>185</v>
      </c>
      <c r="C20" s="17" t="n">
        <v>166.5</v>
      </c>
    </row>
    <row r="21" customFormat="false" ht="15" hidden="false" customHeight="false" outlineLevel="0" collapsed="false">
      <c r="A21" s="16" t="s">
        <v>46</v>
      </c>
      <c r="B21" s="17" t="n">
        <v>318.93</v>
      </c>
      <c r="C21" s="17" t="n">
        <v>574.07</v>
      </c>
    </row>
    <row r="22" customFormat="false" ht="15" hidden="false" customHeight="false" outlineLevel="0" collapsed="false">
      <c r="A22" s="16" t="s">
        <v>47</v>
      </c>
      <c r="B22" s="17" t="n">
        <v>411.32</v>
      </c>
      <c r="C22" s="17" t="n">
        <v>246.79</v>
      </c>
    </row>
    <row r="23" customFormat="false" ht="15" hidden="false" customHeight="false" outlineLevel="0" collapsed="false">
      <c r="A23" s="16" t="s">
        <v>48</v>
      </c>
      <c r="B23" s="17" t="n">
        <v>700</v>
      </c>
      <c r="C23" s="17" t="n">
        <v>840</v>
      </c>
    </row>
    <row r="24" customFormat="false" ht="15" hidden="false" customHeight="false" outlineLevel="0" collapsed="false">
      <c r="A24" s="16" t="s">
        <v>49</v>
      </c>
      <c r="B24" s="17" t="n">
        <v>700</v>
      </c>
      <c r="C24" s="17" t="n">
        <v>105</v>
      </c>
    </row>
    <row r="25" customFormat="false" ht="15" hidden="false" customHeight="false" outlineLevel="0" collapsed="false">
      <c r="A25" s="16" t="s">
        <v>50</v>
      </c>
      <c r="B25" s="17" t="n">
        <v>750</v>
      </c>
      <c r="C25" s="17" t="n">
        <v>1425</v>
      </c>
    </row>
    <row r="26" customFormat="false" ht="15" hidden="false" customHeight="false" outlineLevel="0" collapsed="false">
      <c r="A26" s="16" t="s">
        <v>51</v>
      </c>
      <c r="B26" s="17" t="n">
        <v>750</v>
      </c>
      <c r="C26" s="17" t="n">
        <v>600</v>
      </c>
    </row>
    <row r="27" customFormat="false" ht="15" hidden="false" customHeight="false" outlineLevel="0" collapsed="false">
      <c r="A27" s="16" t="s">
        <v>52</v>
      </c>
      <c r="B27" s="17" t="n">
        <v>351</v>
      </c>
      <c r="C27" s="17" t="n">
        <v>245.7</v>
      </c>
    </row>
    <row r="28" customFormat="false" ht="15" hidden="false" customHeight="false" outlineLevel="0" collapsed="false">
      <c r="A28" s="16" t="s">
        <v>53</v>
      </c>
      <c r="B28" s="17" t="n">
        <v>143.76</v>
      </c>
      <c r="C28" s="17" t="n">
        <v>0</v>
      </c>
    </row>
    <row r="29" customFormat="false" ht="15" hidden="false" customHeight="false" outlineLevel="0" collapsed="false">
      <c r="A29" s="16" t="s">
        <v>54</v>
      </c>
      <c r="B29" s="17" t="n">
        <v>190</v>
      </c>
      <c r="C29" s="17" t="n">
        <v>247</v>
      </c>
    </row>
    <row r="30" customFormat="false" ht="15" hidden="false" customHeight="false" outlineLevel="0" collapsed="false">
      <c r="A30" s="16" t="s">
        <v>55</v>
      </c>
      <c r="B30" s="17" t="n">
        <v>205</v>
      </c>
      <c r="C30" s="17" t="n">
        <v>256.25</v>
      </c>
    </row>
    <row r="31" customFormat="false" ht="15" hidden="false" customHeight="false" outlineLevel="0" collapsed="false">
      <c r="A31" s="7" t="s">
        <v>56</v>
      </c>
      <c r="B31" s="18"/>
      <c r="C31" s="8" t="n">
        <f aca="false">SUM(C16:C30)</f>
        <v>5967.9</v>
      </c>
    </row>
    <row r="33" customFormat="false" ht="15" hidden="false" customHeight="false" outlineLevel="0" collapsed="false">
      <c r="A33" s="14" t="s">
        <v>57</v>
      </c>
      <c r="B33" s="15"/>
      <c r="C33" s="15"/>
    </row>
    <row r="34" customFormat="false" ht="15" hidden="false" customHeight="false" outlineLevel="0" collapsed="false">
      <c r="A34" s="7" t="s">
        <v>29</v>
      </c>
      <c r="B34" s="7" t="s">
        <v>30</v>
      </c>
      <c r="C34" s="7" t="s">
        <v>31</v>
      </c>
    </row>
    <row r="35" customFormat="false" ht="15" hidden="false" customHeight="false" outlineLevel="0" collapsed="false">
      <c r="A35" s="16" t="s">
        <v>58</v>
      </c>
      <c r="B35" s="17" t="n">
        <v>86</v>
      </c>
      <c r="C35" s="17" t="n">
        <v>0</v>
      </c>
    </row>
    <row r="36" customFormat="false" ht="15" hidden="false" customHeight="false" outlineLevel="0" collapsed="false">
      <c r="A36" s="16" t="s">
        <v>59</v>
      </c>
      <c r="B36" s="17" t="n">
        <v>397</v>
      </c>
      <c r="C36" s="17" t="n">
        <v>0</v>
      </c>
    </row>
    <row r="37" customFormat="false" ht="15" hidden="false" customHeight="false" outlineLevel="0" collapsed="false">
      <c r="A37" s="16" t="s">
        <v>60</v>
      </c>
      <c r="B37" s="17" t="n">
        <v>416.38</v>
      </c>
      <c r="C37" s="17" t="n">
        <v>0</v>
      </c>
    </row>
    <row r="38" customFormat="false" ht="15" hidden="false" customHeight="false" outlineLevel="0" collapsed="false">
      <c r="A38" s="16" t="s">
        <v>61</v>
      </c>
      <c r="B38" s="17" t="n">
        <v>85</v>
      </c>
      <c r="C38" s="17" t="n">
        <v>8.5</v>
      </c>
    </row>
    <row r="39" customFormat="false" ht="15" hidden="false" customHeight="false" outlineLevel="0" collapsed="false">
      <c r="A39" s="7" t="s">
        <v>62</v>
      </c>
      <c r="B39" s="18"/>
      <c r="C39" s="8" t="n">
        <f aca="false">SUM(C35:C38)</f>
        <v>8.5</v>
      </c>
    </row>
    <row r="41" customFormat="false" ht="15" hidden="false" customHeight="false" outlineLevel="0" collapsed="false">
      <c r="A41" s="14" t="s">
        <v>63</v>
      </c>
      <c r="B41" s="15"/>
      <c r="C41" s="15"/>
    </row>
    <row r="42" customFormat="false" ht="15" hidden="false" customHeight="false" outlineLevel="0" collapsed="false">
      <c r="A42" s="7" t="s">
        <v>29</v>
      </c>
      <c r="B42" s="7" t="s">
        <v>30</v>
      </c>
      <c r="C42" s="7" t="s">
        <v>31</v>
      </c>
    </row>
    <row r="43" customFormat="false" ht="15" hidden="false" customHeight="false" outlineLevel="0" collapsed="false">
      <c r="A43" s="16" t="s">
        <v>64</v>
      </c>
      <c r="B43" s="17" t="n">
        <v>143</v>
      </c>
      <c r="C43" s="17" t="n">
        <v>0</v>
      </c>
    </row>
    <row r="44" customFormat="false" ht="15" hidden="false" customHeight="false" outlineLevel="0" collapsed="false">
      <c r="A44" s="16" t="s">
        <v>65</v>
      </c>
      <c r="B44" s="17" t="n">
        <v>143</v>
      </c>
      <c r="C44" s="17" t="n">
        <v>0</v>
      </c>
    </row>
    <row r="45" customFormat="false" ht="15" hidden="false" customHeight="false" outlineLevel="0" collapsed="false">
      <c r="A45" s="16" t="s">
        <v>66</v>
      </c>
      <c r="B45" s="17" t="n">
        <v>372</v>
      </c>
      <c r="C45" s="17" t="n">
        <v>0</v>
      </c>
    </row>
    <row r="46" customFormat="false" ht="15" hidden="false" customHeight="false" outlineLevel="0" collapsed="false">
      <c r="A46" s="16" t="s">
        <v>67</v>
      </c>
      <c r="B46" s="17" t="n">
        <v>91.75</v>
      </c>
      <c r="C46" s="17" t="n">
        <v>165.15</v>
      </c>
    </row>
    <row r="47" customFormat="false" ht="15" hidden="false" customHeight="false" outlineLevel="0" collapsed="false">
      <c r="A47" s="16" t="s">
        <v>68</v>
      </c>
      <c r="B47" s="17" t="n">
        <v>155</v>
      </c>
      <c r="C47" s="17" t="n">
        <v>480.5</v>
      </c>
    </row>
    <row r="48" customFormat="false" ht="15" hidden="false" customHeight="false" outlineLevel="0" collapsed="false">
      <c r="A48" s="7" t="s">
        <v>69</v>
      </c>
      <c r="B48" s="18"/>
      <c r="C48" s="8" t="n">
        <f aca="false">SUM(C43:C47)</f>
        <v>645.65</v>
      </c>
    </row>
    <row r="50" customFormat="false" ht="15" hidden="false" customHeight="false" outlineLevel="0" collapsed="false">
      <c r="A50" s="14" t="s">
        <v>70</v>
      </c>
      <c r="B50" s="15"/>
      <c r="C50" s="15"/>
    </row>
    <row r="51" customFormat="false" ht="15" hidden="false" customHeight="false" outlineLevel="0" collapsed="false">
      <c r="A51" s="7" t="s">
        <v>29</v>
      </c>
      <c r="B51" s="7" t="s">
        <v>30</v>
      </c>
      <c r="C51" s="7" t="s">
        <v>31</v>
      </c>
    </row>
    <row r="52" customFormat="false" ht="15" hidden="false" customHeight="false" outlineLevel="0" collapsed="false">
      <c r="A52" s="16" t="s">
        <v>71</v>
      </c>
      <c r="B52" s="17" t="n">
        <v>305</v>
      </c>
      <c r="C52" s="17" t="n">
        <v>76.25</v>
      </c>
    </row>
    <row r="53" customFormat="false" ht="15" hidden="false" customHeight="false" outlineLevel="0" collapsed="false">
      <c r="A53" s="16" t="s">
        <v>72</v>
      </c>
      <c r="B53" s="17" t="n">
        <v>65</v>
      </c>
      <c r="C53" s="17" t="n">
        <v>117</v>
      </c>
    </row>
    <row r="54" customFormat="false" ht="15" hidden="false" customHeight="false" outlineLevel="0" collapsed="false">
      <c r="A54" s="16" t="s">
        <v>73</v>
      </c>
      <c r="B54" s="17" t="n">
        <v>528.24</v>
      </c>
      <c r="C54" s="17" t="n">
        <v>0</v>
      </c>
    </row>
    <row r="55" customFormat="false" ht="15" hidden="false" customHeight="false" outlineLevel="0" collapsed="false">
      <c r="A55" s="16" t="s">
        <v>74</v>
      </c>
      <c r="B55" s="17" t="n">
        <v>480</v>
      </c>
      <c r="C55" s="17" t="n">
        <v>480</v>
      </c>
    </row>
    <row r="56" customFormat="false" ht="15" hidden="false" customHeight="false" outlineLevel="0" collapsed="false">
      <c r="A56" s="16" t="s">
        <v>75</v>
      </c>
      <c r="B56" s="17" t="n">
        <v>497.2</v>
      </c>
      <c r="C56" s="17" t="n">
        <v>0</v>
      </c>
    </row>
    <row r="57" customFormat="false" ht="15" hidden="false" customHeight="false" outlineLevel="0" collapsed="false">
      <c r="A57" s="16" t="s">
        <v>76</v>
      </c>
      <c r="B57" s="17" t="n">
        <v>190</v>
      </c>
      <c r="C57" s="17" t="n">
        <v>190</v>
      </c>
    </row>
    <row r="58" customFormat="false" ht="15" hidden="false" customHeight="false" outlineLevel="0" collapsed="false">
      <c r="A58" s="16" t="s">
        <v>77</v>
      </c>
      <c r="B58" s="17" t="n">
        <v>245</v>
      </c>
      <c r="C58" s="17" t="n">
        <v>171.5</v>
      </c>
    </row>
    <row r="59" customFormat="false" ht="15" hidden="false" customHeight="false" outlineLevel="0" collapsed="false">
      <c r="A59" s="16" t="s">
        <v>78</v>
      </c>
      <c r="B59" s="17" t="n">
        <v>300</v>
      </c>
      <c r="C59" s="17" t="n">
        <v>0</v>
      </c>
    </row>
    <row r="60" customFormat="false" ht="15" hidden="false" customHeight="false" outlineLevel="0" collapsed="false">
      <c r="A60" s="16" t="s">
        <v>79</v>
      </c>
      <c r="B60" s="17" t="n">
        <v>300</v>
      </c>
      <c r="C60" s="17" t="n">
        <v>0</v>
      </c>
    </row>
    <row r="61" customFormat="false" ht="15" hidden="false" customHeight="false" outlineLevel="0" collapsed="false">
      <c r="A61" s="16" t="s">
        <v>80</v>
      </c>
      <c r="B61" s="17" t="n">
        <v>320</v>
      </c>
      <c r="C61" s="17" t="n">
        <v>0</v>
      </c>
    </row>
    <row r="62" customFormat="false" ht="15" hidden="false" customHeight="false" outlineLevel="0" collapsed="false">
      <c r="A62" s="7" t="s">
        <v>81</v>
      </c>
      <c r="B62" s="18"/>
      <c r="C62" s="8" t="n">
        <f aca="false">SUM(C52:C61)</f>
        <v>1034.75</v>
      </c>
    </row>
    <row r="64" customFormat="false" ht="15" hidden="false" customHeight="false" outlineLevel="0" collapsed="false">
      <c r="A64" s="14" t="s">
        <v>82</v>
      </c>
      <c r="B64" s="15"/>
      <c r="C64" s="15"/>
    </row>
    <row r="65" customFormat="false" ht="15" hidden="false" customHeight="false" outlineLevel="0" collapsed="false">
      <c r="A65" s="7" t="s">
        <v>29</v>
      </c>
      <c r="B65" s="7" t="s">
        <v>30</v>
      </c>
      <c r="C65" s="7" t="s">
        <v>31</v>
      </c>
    </row>
    <row r="66" customFormat="false" ht="15" hidden="false" customHeight="false" outlineLevel="0" collapsed="false">
      <c r="A66" s="16" t="s">
        <v>83</v>
      </c>
      <c r="B66" s="17" t="n">
        <v>142.54</v>
      </c>
      <c r="C66" s="17" t="n">
        <v>128.29</v>
      </c>
    </row>
    <row r="67" customFormat="false" ht="15" hidden="false" customHeight="false" outlineLevel="0" collapsed="false">
      <c r="A67" s="16" t="s">
        <v>84</v>
      </c>
      <c r="B67" s="17" t="n">
        <v>122</v>
      </c>
      <c r="C67" s="17" t="n">
        <v>36.6</v>
      </c>
    </row>
    <row r="68" customFormat="false" ht="15" hidden="false" customHeight="false" outlineLevel="0" collapsed="false">
      <c r="A68" s="16" t="s">
        <v>85</v>
      </c>
      <c r="B68" s="17" t="n">
        <v>170</v>
      </c>
      <c r="C68" s="17" t="n">
        <v>246.5</v>
      </c>
    </row>
    <row r="69" customFormat="false" ht="15" hidden="false" customHeight="false" outlineLevel="0" collapsed="false">
      <c r="A69" s="16" t="s">
        <v>86</v>
      </c>
      <c r="B69" s="17" t="n">
        <v>154</v>
      </c>
      <c r="C69" s="17" t="n">
        <v>154</v>
      </c>
    </row>
    <row r="70" customFormat="false" ht="15" hidden="false" customHeight="false" outlineLevel="0" collapsed="false">
      <c r="A70" s="16" t="s">
        <v>87</v>
      </c>
      <c r="B70" s="17" t="n">
        <v>74</v>
      </c>
      <c r="C70" s="17" t="n">
        <v>13.32</v>
      </c>
    </row>
    <row r="71" customFormat="false" ht="15" hidden="false" customHeight="false" outlineLevel="0" collapsed="false">
      <c r="A71" s="16" t="s">
        <v>88</v>
      </c>
      <c r="B71" s="17" t="n">
        <v>85</v>
      </c>
      <c r="C71" s="17" t="n">
        <v>102</v>
      </c>
    </row>
    <row r="72" customFormat="false" ht="15" hidden="false" customHeight="false" outlineLevel="0" collapsed="false">
      <c r="A72" s="16" t="s">
        <v>89</v>
      </c>
      <c r="B72" s="17" t="n">
        <v>154</v>
      </c>
      <c r="C72" s="17" t="n">
        <v>107.8</v>
      </c>
    </row>
    <row r="73" customFormat="false" ht="15" hidden="false" customHeight="false" outlineLevel="0" collapsed="false">
      <c r="A73" s="16" t="s">
        <v>90</v>
      </c>
      <c r="B73" s="17" t="n">
        <v>202.8</v>
      </c>
      <c r="C73" s="17" t="n">
        <v>202.8</v>
      </c>
    </row>
    <row r="74" customFormat="false" ht="15" hidden="false" customHeight="false" outlineLevel="0" collapsed="false">
      <c r="A74" s="16" t="s">
        <v>91</v>
      </c>
      <c r="B74" s="17" t="n">
        <v>75</v>
      </c>
      <c r="C74" s="17" t="n">
        <v>11.25</v>
      </c>
    </row>
    <row r="75" customFormat="false" ht="15" hidden="false" customHeight="false" outlineLevel="0" collapsed="false">
      <c r="A75" s="16" t="s">
        <v>92</v>
      </c>
      <c r="B75" s="17" t="n">
        <v>276</v>
      </c>
      <c r="C75" s="17" t="n">
        <v>193.2</v>
      </c>
    </row>
    <row r="76" customFormat="false" ht="15" hidden="false" customHeight="false" outlineLevel="0" collapsed="false">
      <c r="A76" s="16" t="s">
        <v>93</v>
      </c>
      <c r="B76" s="17" t="n">
        <v>274.7</v>
      </c>
      <c r="C76" s="17" t="n">
        <v>233.5</v>
      </c>
    </row>
    <row r="77" customFormat="false" ht="15" hidden="false" customHeight="false" outlineLevel="0" collapsed="false">
      <c r="A77" s="16" t="s">
        <v>94</v>
      </c>
      <c r="B77" s="17" t="n">
        <v>297</v>
      </c>
      <c r="C77" s="17" t="n">
        <v>89.1</v>
      </c>
    </row>
    <row r="78" customFormat="false" ht="15" hidden="false" customHeight="false" outlineLevel="0" collapsed="false">
      <c r="A78" s="16" t="s">
        <v>95</v>
      </c>
      <c r="B78" s="17" t="n">
        <v>166.07</v>
      </c>
      <c r="C78" s="17" t="n">
        <v>33.21</v>
      </c>
    </row>
    <row r="79" customFormat="false" ht="15" hidden="false" customHeight="false" outlineLevel="0" collapsed="false">
      <c r="A79" s="16" t="s">
        <v>96</v>
      </c>
      <c r="B79" s="17" t="n">
        <v>85</v>
      </c>
      <c r="C79" s="17" t="n">
        <v>102</v>
      </c>
    </row>
    <row r="80" customFormat="false" ht="15" hidden="false" customHeight="false" outlineLevel="0" collapsed="false">
      <c r="A80" s="16" t="s">
        <v>97</v>
      </c>
      <c r="B80" s="17" t="n">
        <v>78</v>
      </c>
      <c r="C80" s="17" t="n">
        <v>62.4</v>
      </c>
    </row>
    <row r="81" customFormat="false" ht="15" hidden="false" customHeight="false" outlineLevel="0" collapsed="false">
      <c r="A81" s="7" t="s">
        <v>98</v>
      </c>
      <c r="B81" s="18"/>
      <c r="C81" s="8" t="n">
        <f aca="false">SUM(C66:C80)</f>
        <v>1715.97</v>
      </c>
    </row>
    <row r="83" customFormat="false" ht="15" hidden="false" customHeight="false" outlineLevel="0" collapsed="false">
      <c r="A83" s="14" t="s">
        <v>99</v>
      </c>
      <c r="B83" s="15"/>
      <c r="C83" s="15"/>
    </row>
    <row r="84" customFormat="false" ht="15" hidden="false" customHeight="false" outlineLevel="0" collapsed="false">
      <c r="A84" s="7" t="s">
        <v>29</v>
      </c>
      <c r="B84" s="7" t="s">
        <v>30</v>
      </c>
      <c r="C84" s="7" t="s">
        <v>31</v>
      </c>
    </row>
    <row r="85" customFormat="false" ht="15" hidden="false" customHeight="false" outlineLevel="0" collapsed="false">
      <c r="A85" s="16" t="s">
        <v>100</v>
      </c>
      <c r="B85" s="17" t="n">
        <v>112.5</v>
      </c>
      <c r="C85" s="17" t="n">
        <v>337.5</v>
      </c>
    </row>
    <row r="86" customFormat="false" ht="15" hidden="false" customHeight="false" outlineLevel="0" collapsed="false">
      <c r="A86" s="16" t="s">
        <v>101</v>
      </c>
      <c r="B86" s="17" t="n">
        <v>154.93</v>
      </c>
      <c r="C86" s="17" t="n">
        <v>464.79</v>
      </c>
    </row>
    <row r="87" customFormat="false" ht="15" hidden="false" customHeight="false" outlineLevel="0" collapsed="false">
      <c r="A87" s="16" t="s">
        <v>102</v>
      </c>
      <c r="B87" s="17" t="n">
        <v>98</v>
      </c>
      <c r="C87" s="17" t="n">
        <v>196</v>
      </c>
    </row>
    <row r="88" customFormat="false" ht="15" hidden="false" customHeight="false" outlineLevel="0" collapsed="false">
      <c r="A88" s="16" t="s">
        <v>103</v>
      </c>
      <c r="B88" s="17" t="n">
        <v>104.5</v>
      </c>
      <c r="C88" s="17" t="n">
        <v>209</v>
      </c>
    </row>
    <row r="89" customFormat="false" ht="15" hidden="false" customHeight="false" outlineLevel="0" collapsed="false">
      <c r="A89" s="16" t="s">
        <v>104</v>
      </c>
      <c r="B89" s="17" t="n">
        <v>38</v>
      </c>
      <c r="C89" s="17" t="n">
        <v>190</v>
      </c>
    </row>
    <row r="90" customFormat="false" ht="15" hidden="false" customHeight="false" outlineLevel="0" collapsed="false">
      <c r="A90" s="16" t="s">
        <v>105</v>
      </c>
      <c r="B90" s="17" t="n">
        <v>135.26</v>
      </c>
      <c r="C90" s="17" t="n">
        <v>270.52</v>
      </c>
    </row>
    <row r="91" customFormat="false" ht="15" hidden="false" customHeight="false" outlineLevel="0" collapsed="false">
      <c r="A91" s="16" t="s">
        <v>106</v>
      </c>
      <c r="B91" s="17" t="n">
        <v>136.29</v>
      </c>
      <c r="C91" s="17" t="n">
        <v>272.58</v>
      </c>
    </row>
    <row r="92" customFormat="false" ht="15" hidden="false" customHeight="false" outlineLevel="0" collapsed="false">
      <c r="A92" s="16" t="s">
        <v>107</v>
      </c>
      <c r="B92" s="17" t="n">
        <v>117.5</v>
      </c>
      <c r="C92" s="17" t="n">
        <v>470</v>
      </c>
    </row>
    <row r="93" customFormat="false" ht="15" hidden="false" customHeight="false" outlineLevel="0" collapsed="false">
      <c r="A93" s="16" t="s">
        <v>108</v>
      </c>
      <c r="B93" s="17" t="n">
        <v>98</v>
      </c>
      <c r="C93" s="17" t="n">
        <v>490</v>
      </c>
    </row>
    <row r="94" customFormat="false" ht="15" hidden="false" customHeight="false" outlineLevel="0" collapsed="false">
      <c r="A94" s="16" t="s">
        <v>109</v>
      </c>
      <c r="B94" s="17" t="n">
        <v>125</v>
      </c>
      <c r="C94" s="17" t="n">
        <v>375</v>
      </c>
    </row>
    <row r="95" customFormat="false" ht="15" hidden="false" customHeight="false" outlineLevel="0" collapsed="false">
      <c r="A95" s="16" t="s">
        <v>110</v>
      </c>
      <c r="B95" s="17" t="n">
        <v>170</v>
      </c>
      <c r="C95" s="17" t="n">
        <v>170</v>
      </c>
    </row>
    <row r="96" customFormat="false" ht="15" hidden="false" customHeight="false" outlineLevel="0" collapsed="false">
      <c r="A96" s="16" t="s">
        <v>111</v>
      </c>
      <c r="B96" s="17" t="n">
        <v>38</v>
      </c>
      <c r="C96" s="17" t="n">
        <v>152</v>
      </c>
    </row>
    <row r="97" customFormat="false" ht="15" hidden="false" customHeight="false" outlineLevel="0" collapsed="false">
      <c r="A97" s="16" t="s">
        <v>112</v>
      </c>
      <c r="B97" s="17" t="n">
        <v>55</v>
      </c>
      <c r="C97" s="17" t="n">
        <v>220</v>
      </c>
    </row>
    <row r="98" customFormat="false" ht="15" hidden="false" customHeight="false" outlineLevel="0" collapsed="false">
      <c r="A98" s="7" t="s">
        <v>113</v>
      </c>
      <c r="B98" s="18"/>
      <c r="C98" s="8" t="n">
        <f aca="false">SUM(C85:C97)</f>
        <v>3817.39</v>
      </c>
    </row>
    <row r="100" customFormat="false" ht="15" hidden="false" customHeight="false" outlineLevel="0" collapsed="false">
      <c r="A100" s="14" t="s">
        <v>114</v>
      </c>
      <c r="B100" s="15"/>
      <c r="C100" s="15"/>
    </row>
    <row r="101" customFormat="false" ht="15" hidden="false" customHeight="false" outlineLevel="0" collapsed="false">
      <c r="A101" s="7" t="s">
        <v>29</v>
      </c>
      <c r="B101" s="7" t="s">
        <v>30</v>
      </c>
      <c r="C101" s="7" t="s">
        <v>31</v>
      </c>
    </row>
    <row r="102" customFormat="false" ht="15" hidden="false" customHeight="false" outlineLevel="0" collapsed="false">
      <c r="A102" s="16" t="s">
        <v>115</v>
      </c>
      <c r="B102" s="17" t="n">
        <v>157</v>
      </c>
      <c r="C102" s="17" t="n">
        <v>104.67</v>
      </c>
    </row>
    <row r="103" customFormat="false" ht="15" hidden="false" customHeight="false" outlineLevel="0" collapsed="false">
      <c r="A103" s="16" t="s">
        <v>116</v>
      </c>
      <c r="B103" s="17" t="n">
        <v>199</v>
      </c>
      <c r="C103" s="17" t="n">
        <v>447.75</v>
      </c>
    </row>
    <row r="104" customFormat="false" ht="15" hidden="false" customHeight="false" outlineLevel="0" collapsed="false">
      <c r="A104" s="16" t="s">
        <v>117</v>
      </c>
      <c r="B104" s="17" t="n">
        <v>245.7</v>
      </c>
      <c r="C104" s="17" t="n">
        <v>112.61</v>
      </c>
    </row>
    <row r="105" customFormat="false" ht="15" hidden="false" customHeight="false" outlineLevel="0" collapsed="false">
      <c r="A105" s="16" t="s">
        <v>118</v>
      </c>
      <c r="B105" s="17" t="n">
        <v>245.7</v>
      </c>
      <c r="C105" s="17" t="n">
        <v>153.56</v>
      </c>
    </row>
    <row r="106" customFormat="false" ht="15" hidden="false" customHeight="false" outlineLevel="0" collapsed="false">
      <c r="A106" s="16" t="s">
        <v>119</v>
      </c>
      <c r="B106" s="17" t="n">
        <v>450</v>
      </c>
      <c r="C106" s="17" t="n">
        <v>281.25</v>
      </c>
    </row>
    <row r="107" customFormat="false" ht="15" hidden="false" customHeight="false" outlineLevel="0" collapsed="false">
      <c r="A107" s="16" t="s">
        <v>120</v>
      </c>
      <c r="B107" s="17" t="n">
        <v>450</v>
      </c>
      <c r="C107" s="17" t="n">
        <v>300</v>
      </c>
    </row>
    <row r="108" customFormat="false" ht="15" hidden="false" customHeight="false" outlineLevel="0" collapsed="false">
      <c r="A108" s="16" t="s">
        <v>121</v>
      </c>
      <c r="B108" s="17" t="n">
        <v>107.5</v>
      </c>
      <c r="C108" s="17" t="n">
        <v>53.75</v>
      </c>
    </row>
    <row r="109" customFormat="false" ht="15" hidden="false" customHeight="false" outlineLevel="0" collapsed="false">
      <c r="A109" s="16" t="s">
        <v>122</v>
      </c>
      <c r="B109" s="17" t="n">
        <v>107.5</v>
      </c>
      <c r="C109" s="17" t="n">
        <v>71.67</v>
      </c>
    </row>
    <row r="110" customFormat="false" ht="15" hidden="false" customHeight="false" outlineLevel="0" collapsed="false">
      <c r="A110" s="16" t="s">
        <v>123</v>
      </c>
      <c r="B110" s="17" t="n">
        <v>107.5</v>
      </c>
      <c r="C110" s="17" t="n">
        <v>0</v>
      </c>
    </row>
    <row r="111" customFormat="false" ht="15" hidden="false" customHeight="false" outlineLevel="0" collapsed="false">
      <c r="A111" s="16" t="s">
        <v>124</v>
      </c>
      <c r="B111" s="17" t="n">
        <v>107.5</v>
      </c>
      <c r="C111" s="17" t="n">
        <v>71.67</v>
      </c>
    </row>
    <row r="112" customFormat="false" ht="15" hidden="false" customHeight="false" outlineLevel="0" collapsed="false">
      <c r="A112" s="16" t="s">
        <v>125</v>
      </c>
      <c r="B112" s="17" t="n">
        <v>90</v>
      </c>
      <c r="C112" s="17" t="n">
        <v>0</v>
      </c>
    </row>
    <row r="113" customFormat="false" ht="15" hidden="false" customHeight="false" outlineLevel="0" collapsed="false">
      <c r="A113" s="16" t="s">
        <v>126</v>
      </c>
      <c r="B113" s="17" t="n">
        <v>130</v>
      </c>
      <c r="C113" s="17" t="n">
        <v>48.75</v>
      </c>
    </row>
    <row r="114" customFormat="false" ht="15" hidden="false" customHeight="false" outlineLevel="0" collapsed="false">
      <c r="A114" s="16" t="s">
        <v>127</v>
      </c>
      <c r="B114" s="17" t="n">
        <v>85</v>
      </c>
      <c r="C114" s="17" t="n">
        <v>127.5</v>
      </c>
    </row>
    <row r="115" customFormat="false" ht="15" hidden="false" customHeight="false" outlineLevel="0" collapsed="false">
      <c r="A115" s="16" t="s">
        <v>128</v>
      </c>
      <c r="B115" s="17" t="n">
        <v>85</v>
      </c>
      <c r="C115" s="17" t="n">
        <v>56.67</v>
      </c>
    </row>
    <row r="116" customFormat="false" ht="15" hidden="false" customHeight="false" outlineLevel="0" collapsed="false">
      <c r="A116" s="16" t="s">
        <v>129</v>
      </c>
      <c r="B116" s="17" t="n">
        <v>165</v>
      </c>
      <c r="C116" s="17" t="n">
        <v>82.5</v>
      </c>
    </row>
    <row r="117" customFormat="false" ht="15" hidden="false" customHeight="false" outlineLevel="0" collapsed="false">
      <c r="A117" s="16" t="s">
        <v>130</v>
      </c>
      <c r="B117" s="17" t="n">
        <v>30</v>
      </c>
      <c r="C117" s="17" t="n">
        <v>15</v>
      </c>
    </row>
    <row r="118" customFormat="false" ht="15" hidden="false" customHeight="false" outlineLevel="0" collapsed="false">
      <c r="A118" s="7" t="s">
        <v>131</v>
      </c>
      <c r="B118" s="18"/>
      <c r="C118" s="8" t="n">
        <f aca="false">SUM(C102:C117)</f>
        <v>1927.35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3" t="s">
        <v>132</v>
      </c>
    </row>
    <row r="3" customFormat="false" ht="15" hidden="false" customHeight="false" outlineLevel="0" collapsed="false">
      <c r="A3" s="9" t="s">
        <v>133</v>
      </c>
      <c r="B3" s="19"/>
      <c r="C3" s="19"/>
      <c r="D3" s="19"/>
    </row>
    <row r="4" customFormat="false" ht="15" hidden="false" customHeight="false" outlineLevel="0" collapsed="false">
      <c r="A4" s="7" t="s">
        <v>29</v>
      </c>
      <c r="B4" s="7" t="s">
        <v>134</v>
      </c>
      <c r="C4" s="7" t="s">
        <v>135</v>
      </c>
      <c r="D4" s="7" t="s">
        <v>136</v>
      </c>
    </row>
    <row r="5" customFormat="false" ht="15" hidden="false" customHeight="false" outlineLevel="0" collapsed="false">
      <c r="A5" s="16" t="s">
        <v>137</v>
      </c>
      <c r="B5" s="16" t="n">
        <v>27</v>
      </c>
      <c r="C5" s="17" t="n">
        <v>58</v>
      </c>
      <c r="D5" s="17" t="n">
        <v>587.25</v>
      </c>
    </row>
    <row r="6" customFormat="false" ht="15" hidden="false" customHeight="false" outlineLevel="0" collapsed="false">
      <c r="A6" s="16" t="s">
        <v>138</v>
      </c>
      <c r="B6" s="16" t="n">
        <v>15</v>
      </c>
      <c r="C6" s="17" t="n">
        <v>58</v>
      </c>
      <c r="D6" s="17" t="n">
        <v>217.5</v>
      </c>
    </row>
    <row r="7" customFormat="false" ht="15" hidden="false" customHeight="false" outlineLevel="0" collapsed="false">
      <c r="A7" s="16" t="s">
        <v>139</v>
      </c>
      <c r="B7" s="16" t="n">
        <v>2</v>
      </c>
      <c r="C7" s="17" t="n">
        <v>58</v>
      </c>
      <c r="D7" s="17" t="n">
        <v>116</v>
      </c>
    </row>
    <row r="8" customFormat="false" ht="15" hidden="false" customHeight="false" outlineLevel="0" collapsed="false">
      <c r="A8" s="16" t="s">
        <v>140</v>
      </c>
      <c r="B8" s="16" t="n">
        <v>15</v>
      </c>
      <c r="C8" s="17" t="n">
        <v>33</v>
      </c>
      <c r="D8" s="17" t="n">
        <v>123.75</v>
      </c>
    </row>
    <row r="9" customFormat="false" ht="15" hidden="false" customHeight="false" outlineLevel="0" collapsed="false">
      <c r="A9" s="16" t="s">
        <v>141</v>
      </c>
      <c r="B9" s="16" t="n">
        <v>0</v>
      </c>
      <c r="C9" s="17" t="n">
        <v>72</v>
      </c>
      <c r="D9" s="17" t="n">
        <v>0</v>
      </c>
    </row>
    <row r="10" customFormat="false" ht="15" hidden="false" customHeight="false" outlineLevel="0" collapsed="false">
      <c r="A10" s="16" t="s">
        <v>142</v>
      </c>
      <c r="B10" s="16" t="n">
        <v>0</v>
      </c>
      <c r="C10" s="17" t="n">
        <v>107.65</v>
      </c>
      <c r="D10" s="17" t="n">
        <v>0</v>
      </c>
    </row>
    <row r="11" customFormat="false" ht="15" hidden="false" customHeight="false" outlineLevel="0" collapsed="false">
      <c r="A11" s="16" t="s">
        <v>143</v>
      </c>
      <c r="B11" s="16" t="n">
        <v>0</v>
      </c>
      <c r="C11" s="17" t="n">
        <v>193.83</v>
      </c>
      <c r="D11" s="17" t="n">
        <v>0</v>
      </c>
    </row>
    <row r="12" customFormat="false" ht="15" hidden="false" customHeight="false" outlineLevel="0" collapsed="false">
      <c r="A12" s="16" t="s">
        <v>144</v>
      </c>
      <c r="B12" s="16" t="n">
        <v>0</v>
      </c>
      <c r="C12" s="17" t="n">
        <v>24.19</v>
      </c>
      <c r="D12" s="17" t="n">
        <v>0</v>
      </c>
    </row>
    <row r="13" customFormat="false" ht="15" hidden="false" customHeight="false" outlineLevel="0" collapsed="false">
      <c r="A13" s="16" t="s">
        <v>145</v>
      </c>
      <c r="B13" s="16" t="n">
        <v>13</v>
      </c>
      <c r="C13" s="17" t="n">
        <v>20</v>
      </c>
      <c r="D13" s="17" t="n">
        <v>105.625</v>
      </c>
    </row>
    <row r="14" customFormat="false" ht="15" hidden="false" customHeight="false" outlineLevel="0" collapsed="false">
      <c r="A14" s="16" t="s">
        <v>146</v>
      </c>
      <c r="B14" s="16" t="n">
        <v>1</v>
      </c>
      <c r="C14" s="17" t="n">
        <v>60</v>
      </c>
      <c r="D14" s="17" t="n">
        <v>60</v>
      </c>
    </row>
    <row r="15" customFormat="false" ht="15" hidden="false" customHeight="false" outlineLevel="0" collapsed="false">
      <c r="A15" s="16" t="s">
        <v>147</v>
      </c>
      <c r="B15" s="16" t="n">
        <v>8</v>
      </c>
      <c r="C15" s="17" t="n">
        <v>24</v>
      </c>
      <c r="D15" s="17" t="n">
        <v>192</v>
      </c>
    </row>
    <row r="16" customFormat="false" ht="15" hidden="false" customHeight="false" outlineLevel="0" collapsed="false">
      <c r="A16" s="7" t="s">
        <v>148</v>
      </c>
      <c r="B16" s="18"/>
      <c r="C16" s="18"/>
      <c r="D16" s="8" t="n">
        <f aca="false">SUM(D5:D15)</f>
        <v>1402.125</v>
      </c>
    </row>
    <row r="18" customFormat="false" ht="15" hidden="false" customHeight="false" outlineLevel="0" collapsed="false">
      <c r="A18" s="9" t="s">
        <v>149</v>
      </c>
      <c r="B18" s="19"/>
      <c r="C18" s="19"/>
      <c r="D18" s="19"/>
    </row>
    <row r="19" customFormat="false" ht="15" hidden="false" customHeight="false" outlineLevel="0" collapsed="false">
      <c r="A19" s="7" t="s">
        <v>29</v>
      </c>
      <c r="B19" s="7" t="s">
        <v>134</v>
      </c>
      <c r="C19" s="7" t="s">
        <v>135</v>
      </c>
      <c r="D19" s="7" t="s">
        <v>136</v>
      </c>
    </row>
    <row r="20" customFormat="false" ht="15" hidden="false" customHeight="false" outlineLevel="0" collapsed="false">
      <c r="A20" s="16" t="s">
        <v>150</v>
      </c>
      <c r="B20" s="16" t="n">
        <v>0</v>
      </c>
      <c r="C20" s="17" t="n">
        <v>85</v>
      </c>
      <c r="D20" s="17" t="n">
        <v>0</v>
      </c>
    </row>
    <row r="21" customFormat="false" ht="15" hidden="false" customHeight="false" outlineLevel="0" collapsed="false">
      <c r="A21" s="16" t="s">
        <v>151</v>
      </c>
      <c r="B21" s="16" t="n">
        <v>0</v>
      </c>
      <c r="C21" s="17" t="n">
        <v>65</v>
      </c>
      <c r="D21" s="17" t="n">
        <v>0</v>
      </c>
    </row>
    <row r="22" customFormat="false" ht="15" hidden="false" customHeight="false" outlineLevel="0" collapsed="false">
      <c r="A22" s="16" t="s">
        <v>152</v>
      </c>
      <c r="B22" s="16" t="n">
        <v>12</v>
      </c>
      <c r="C22" s="17" t="n">
        <v>26.5</v>
      </c>
      <c r="D22" s="17" t="n">
        <v>119.25</v>
      </c>
    </row>
    <row r="23" customFormat="false" ht="15" hidden="false" customHeight="false" outlineLevel="0" collapsed="false">
      <c r="A23" s="16" t="s">
        <v>153</v>
      </c>
      <c r="B23" s="16" t="n">
        <v>0</v>
      </c>
      <c r="C23" s="17" t="n">
        <v>58</v>
      </c>
      <c r="D23" s="17" t="n">
        <v>0</v>
      </c>
    </row>
    <row r="24" customFormat="false" ht="15" hidden="false" customHeight="false" outlineLevel="0" collapsed="false">
      <c r="A24" s="16" t="s">
        <v>154</v>
      </c>
      <c r="B24" s="16" t="n">
        <v>0</v>
      </c>
      <c r="C24" s="17" t="n">
        <v>85</v>
      </c>
      <c r="D24" s="17" t="n">
        <v>0</v>
      </c>
    </row>
    <row r="25" customFormat="false" ht="15" hidden="false" customHeight="false" outlineLevel="0" collapsed="false">
      <c r="A25" s="16" t="s">
        <v>155</v>
      </c>
      <c r="B25" s="16" t="n">
        <v>0</v>
      </c>
      <c r="C25" s="17" t="n">
        <v>38</v>
      </c>
      <c r="D25" s="17" t="n">
        <v>0</v>
      </c>
    </row>
    <row r="26" customFormat="false" ht="15" hidden="false" customHeight="false" outlineLevel="0" collapsed="false">
      <c r="A26" s="16" t="s">
        <v>156</v>
      </c>
      <c r="B26" s="16" t="n">
        <v>10</v>
      </c>
      <c r="C26" s="17" t="n">
        <v>30</v>
      </c>
      <c r="D26" s="17" t="n">
        <v>75</v>
      </c>
    </row>
    <row r="27" customFormat="false" ht="15" hidden="false" customHeight="false" outlineLevel="0" collapsed="false">
      <c r="A27" s="16" t="s">
        <v>157</v>
      </c>
      <c r="B27" s="16" t="n">
        <v>0</v>
      </c>
      <c r="C27" s="17" t="n">
        <v>65</v>
      </c>
      <c r="D27" s="17" t="n">
        <v>0</v>
      </c>
    </row>
    <row r="28" customFormat="false" ht="15" hidden="false" customHeight="false" outlineLevel="0" collapsed="false">
      <c r="A28" s="16" t="s">
        <v>158</v>
      </c>
      <c r="B28" s="16" t="n">
        <v>12</v>
      </c>
      <c r="C28" s="17" t="n">
        <v>32.5</v>
      </c>
      <c r="D28" s="17" t="n">
        <v>121.875</v>
      </c>
    </row>
    <row r="29" customFormat="false" ht="15" hidden="false" customHeight="false" outlineLevel="0" collapsed="false">
      <c r="A29" s="7" t="s">
        <v>159</v>
      </c>
      <c r="B29" s="18"/>
      <c r="C29" s="18"/>
      <c r="D29" s="8" t="n">
        <f aca="false">SUM(D20:D28)</f>
        <v>316.125</v>
      </c>
    </row>
    <row r="31" customFormat="false" ht="15" hidden="false" customHeight="false" outlineLevel="0" collapsed="false">
      <c r="A31" s="9" t="s">
        <v>160</v>
      </c>
      <c r="B31" s="19"/>
      <c r="C31" s="19"/>
      <c r="D31" s="19"/>
    </row>
    <row r="32" customFormat="false" ht="15" hidden="false" customHeight="false" outlineLevel="0" collapsed="false">
      <c r="A32" s="7" t="s">
        <v>29</v>
      </c>
      <c r="B32" s="7" t="s">
        <v>134</v>
      </c>
      <c r="C32" s="7" t="s">
        <v>135</v>
      </c>
      <c r="D32" s="7" t="s">
        <v>136</v>
      </c>
    </row>
    <row r="33" customFormat="false" ht="15" hidden="false" customHeight="false" outlineLevel="0" collapsed="false">
      <c r="A33" s="16" t="s">
        <v>161</v>
      </c>
      <c r="B33" s="16" t="n">
        <v>0</v>
      </c>
      <c r="C33" s="17" t="n">
        <v>26.186</v>
      </c>
      <c r="D33" s="17" t="n">
        <v>0</v>
      </c>
    </row>
    <row r="34" customFormat="false" ht="15" hidden="false" customHeight="false" outlineLevel="0" collapsed="false">
      <c r="A34" s="16" t="s">
        <v>162</v>
      </c>
      <c r="B34" s="16" t="n">
        <v>16</v>
      </c>
      <c r="C34" s="17" t="n">
        <v>17.5</v>
      </c>
      <c r="D34" s="17" t="n">
        <v>105</v>
      </c>
    </row>
    <row r="35" customFormat="false" ht="15" hidden="false" customHeight="false" outlineLevel="0" collapsed="false">
      <c r="A35" s="16" t="s">
        <v>163</v>
      </c>
      <c r="B35" s="16" t="n">
        <v>15</v>
      </c>
      <c r="C35" s="17" t="n">
        <v>1.2</v>
      </c>
      <c r="D35" s="17" t="n">
        <v>18</v>
      </c>
    </row>
    <row r="36" customFormat="false" ht="15" hidden="false" customHeight="false" outlineLevel="0" collapsed="false">
      <c r="A36" s="16" t="s">
        <v>164</v>
      </c>
      <c r="B36" s="16" t="n">
        <v>3</v>
      </c>
      <c r="C36" s="17" t="n">
        <v>49</v>
      </c>
      <c r="D36" s="17" t="n">
        <v>147</v>
      </c>
    </row>
    <row r="37" customFormat="false" ht="15" hidden="false" customHeight="false" outlineLevel="0" collapsed="false">
      <c r="A37" s="16" t="s">
        <v>165</v>
      </c>
      <c r="B37" s="16" t="n">
        <v>7</v>
      </c>
      <c r="C37" s="17" t="n">
        <v>30</v>
      </c>
      <c r="D37" s="17" t="n">
        <v>105</v>
      </c>
    </row>
    <row r="38" customFormat="false" ht="15" hidden="false" customHeight="false" outlineLevel="0" collapsed="false">
      <c r="A38" s="16" t="s">
        <v>166</v>
      </c>
      <c r="B38" s="16" t="n">
        <v>0</v>
      </c>
      <c r="C38" s="17" t="n">
        <v>12.25</v>
      </c>
      <c r="D38" s="17" t="n">
        <v>0</v>
      </c>
    </row>
    <row r="39" customFormat="false" ht="15" hidden="false" customHeight="false" outlineLevel="0" collapsed="false">
      <c r="A39" s="16" t="s">
        <v>167</v>
      </c>
      <c r="B39" s="16" t="n">
        <v>2</v>
      </c>
      <c r="C39" s="17" t="n">
        <v>36</v>
      </c>
      <c r="D39" s="17" t="n">
        <v>72</v>
      </c>
    </row>
    <row r="40" customFormat="false" ht="15" hidden="false" customHeight="false" outlineLevel="0" collapsed="false">
      <c r="A40" s="16" t="s">
        <v>168</v>
      </c>
      <c r="B40" s="16" t="n">
        <v>1.5</v>
      </c>
      <c r="C40" s="17" t="n">
        <v>67</v>
      </c>
      <c r="D40" s="17" t="n">
        <v>100.5</v>
      </c>
    </row>
    <row r="41" customFormat="false" ht="15" hidden="false" customHeight="false" outlineLevel="0" collapsed="false">
      <c r="A41" s="16" t="s">
        <v>169</v>
      </c>
      <c r="B41" s="16" t="n">
        <v>2</v>
      </c>
      <c r="C41" s="17" t="n">
        <v>43</v>
      </c>
      <c r="D41" s="17" t="n">
        <v>86</v>
      </c>
    </row>
    <row r="42" customFormat="false" ht="15" hidden="false" customHeight="false" outlineLevel="0" collapsed="false">
      <c r="A42" s="16" t="s">
        <v>170</v>
      </c>
      <c r="B42" s="16" t="n">
        <v>3</v>
      </c>
      <c r="C42" s="17" t="n">
        <v>40</v>
      </c>
      <c r="D42" s="17" t="n">
        <v>120</v>
      </c>
    </row>
    <row r="43" customFormat="false" ht="15" hidden="false" customHeight="false" outlineLevel="0" collapsed="false">
      <c r="A43" s="16" t="s">
        <v>171</v>
      </c>
      <c r="B43" s="16" t="n">
        <v>5</v>
      </c>
      <c r="C43" s="17" t="n">
        <v>57.75</v>
      </c>
      <c r="D43" s="17" t="n">
        <v>288.75</v>
      </c>
    </row>
    <row r="44" customFormat="false" ht="15" hidden="false" customHeight="false" outlineLevel="0" collapsed="false">
      <c r="A44" s="16" t="s">
        <v>172</v>
      </c>
      <c r="B44" s="16" t="n">
        <v>0</v>
      </c>
      <c r="C44" s="17" t="n">
        <v>69</v>
      </c>
      <c r="D44" s="17" t="n">
        <v>0</v>
      </c>
    </row>
    <row r="45" customFormat="false" ht="15" hidden="false" customHeight="false" outlineLevel="0" collapsed="false">
      <c r="A45" s="16" t="s">
        <v>173</v>
      </c>
      <c r="B45" s="16" t="n">
        <v>0</v>
      </c>
      <c r="C45" s="17" t="n">
        <v>157.5</v>
      </c>
      <c r="D45" s="17" t="n">
        <v>0</v>
      </c>
    </row>
    <row r="46" customFormat="false" ht="15" hidden="false" customHeight="false" outlineLevel="0" collapsed="false">
      <c r="A46" s="16" t="s">
        <v>174</v>
      </c>
      <c r="B46" s="16" t="n">
        <v>0.5</v>
      </c>
      <c r="C46" s="17" t="n">
        <v>157.5</v>
      </c>
      <c r="D46" s="17" t="n">
        <v>78.75</v>
      </c>
    </row>
    <row r="47" customFormat="false" ht="15" hidden="false" customHeight="false" outlineLevel="0" collapsed="false">
      <c r="A47" s="16" t="s">
        <v>175</v>
      </c>
      <c r="B47" s="16" t="n">
        <v>1</v>
      </c>
      <c r="C47" s="17" t="n">
        <v>157.5</v>
      </c>
      <c r="D47" s="17" t="n">
        <v>157.5</v>
      </c>
    </row>
    <row r="48" customFormat="false" ht="15" hidden="false" customHeight="false" outlineLevel="0" collapsed="false">
      <c r="A48" s="16" t="s">
        <v>176</v>
      </c>
      <c r="B48" s="16" t="n">
        <v>0</v>
      </c>
      <c r="C48" s="17" t="n">
        <v>25</v>
      </c>
      <c r="D48" s="17" t="n">
        <v>0</v>
      </c>
    </row>
    <row r="49" customFormat="false" ht="15" hidden="false" customHeight="false" outlineLevel="0" collapsed="false">
      <c r="A49" s="16" t="s">
        <v>177</v>
      </c>
      <c r="B49" s="16" t="n">
        <v>2</v>
      </c>
      <c r="C49" s="17" t="n">
        <v>18.67</v>
      </c>
      <c r="D49" s="17" t="n">
        <v>37.34</v>
      </c>
    </row>
    <row r="50" customFormat="false" ht="15" hidden="false" customHeight="false" outlineLevel="0" collapsed="false">
      <c r="A50" s="16" t="s">
        <v>178</v>
      </c>
      <c r="B50" s="16" t="n">
        <v>3</v>
      </c>
      <c r="C50" s="17" t="n">
        <v>18</v>
      </c>
      <c r="D50" s="17" t="n">
        <v>54</v>
      </c>
    </row>
    <row r="51" customFormat="false" ht="15" hidden="false" customHeight="false" outlineLevel="0" collapsed="false">
      <c r="A51" s="7" t="s">
        <v>179</v>
      </c>
      <c r="B51" s="18"/>
      <c r="C51" s="18"/>
      <c r="D51" s="8" t="n">
        <f aca="false">SUM(D33:D50)</f>
        <v>1369.84</v>
      </c>
    </row>
    <row r="53" customFormat="false" ht="15" hidden="false" customHeight="false" outlineLevel="0" collapsed="false">
      <c r="A53" s="9" t="s">
        <v>180</v>
      </c>
      <c r="B53" s="19"/>
      <c r="C53" s="19"/>
      <c r="D53" s="19"/>
    </row>
    <row r="54" customFormat="false" ht="15" hidden="false" customHeight="false" outlineLevel="0" collapsed="false">
      <c r="A54" s="7" t="s">
        <v>29</v>
      </c>
      <c r="B54" s="7" t="s">
        <v>134</v>
      </c>
      <c r="C54" s="7" t="s">
        <v>135</v>
      </c>
      <c r="D54" s="7" t="s">
        <v>136</v>
      </c>
    </row>
    <row r="55" customFormat="false" ht="15" hidden="false" customHeight="false" outlineLevel="0" collapsed="false">
      <c r="A55" s="16" t="s">
        <v>181</v>
      </c>
      <c r="B55" s="16" t="n">
        <v>0</v>
      </c>
      <c r="C55" s="17" t="n">
        <v>305.56</v>
      </c>
      <c r="D55" s="17" t="n">
        <v>0</v>
      </c>
    </row>
    <row r="56" customFormat="false" ht="15" hidden="false" customHeight="false" outlineLevel="0" collapsed="false">
      <c r="A56" s="16" t="s">
        <v>182</v>
      </c>
      <c r="B56" s="16" t="n">
        <v>1</v>
      </c>
      <c r="C56" s="17" t="n">
        <v>22.15</v>
      </c>
      <c r="D56" s="17" t="n">
        <v>22.15</v>
      </c>
    </row>
    <row r="57" customFormat="false" ht="15" hidden="false" customHeight="false" outlineLevel="0" collapsed="false">
      <c r="A57" s="16" t="s">
        <v>183</v>
      </c>
      <c r="B57" s="16" t="n">
        <v>3</v>
      </c>
      <c r="C57" s="17" t="n">
        <v>111</v>
      </c>
      <c r="D57" s="17" t="n">
        <v>333</v>
      </c>
    </row>
    <row r="58" customFormat="false" ht="15" hidden="false" customHeight="false" outlineLevel="0" collapsed="false">
      <c r="A58" s="16" t="s">
        <v>184</v>
      </c>
      <c r="B58" s="16" t="n">
        <v>1.8</v>
      </c>
      <c r="C58" s="17" t="n">
        <v>95</v>
      </c>
      <c r="D58" s="17" t="n">
        <v>171</v>
      </c>
    </row>
    <row r="59" customFormat="false" ht="15" hidden="false" customHeight="false" outlineLevel="0" collapsed="false">
      <c r="A59" s="16" t="s">
        <v>185</v>
      </c>
      <c r="B59" s="16" t="n">
        <v>3</v>
      </c>
      <c r="C59" s="17" t="n">
        <v>3.5</v>
      </c>
      <c r="D59" s="17" t="n">
        <v>10.5</v>
      </c>
    </row>
    <row r="60" customFormat="false" ht="15" hidden="false" customHeight="false" outlineLevel="0" collapsed="false">
      <c r="A60" s="16" t="s">
        <v>186</v>
      </c>
      <c r="B60" s="16" t="n">
        <v>25</v>
      </c>
      <c r="C60" s="17" t="n">
        <v>4.22</v>
      </c>
      <c r="D60" s="17" t="n">
        <v>105.5</v>
      </c>
    </row>
    <row r="61" customFormat="false" ht="15" hidden="false" customHeight="false" outlineLevel="0" collapsed="false">
      <c r="A61" s="16" t="s">
        <v>187</v>
      </c>
      <c r="B61" s="16" t="n">
        <v>0.5</v>
      </c>
      <c r="C61" s="17" t="n">
        <v>25</v>
      </c>
      <c r="D61" s="17" t="n">
        <v>12.5</v>
      </c>
    </row>
    <row r="62" customFormat="false" ht="15" hidden="false" customHeight="false" outlineLevel="0" collapsed="false">
      <c r="A62" s="16" t="s">
        <v>188</v>
      </c>
      <c r="B62" s="16" t="n">
        <v>6</v>
      </c>
      <c r="C62" s="17" t="n">
        <v>23.5</v>
      </c>
      <c r="D62" s="17" t="n">
        <v>141</v>
      </c>
    </row>
    <row r="63" customFormat="false" ht="15" hidden="false" customHeight="false" outlineLevel="0" collapsed="false">
      <c r="A63" s="16" t="s">
        <v>189</v>
      </c>
      <c r="B63" s="16" t="n">
        <v>1</v>
      </c>
      <c r="C63" s="17" t="n">
        <v>18</v>
      </c>
      <c r="D63" s="17" t="n">
        <v>18</v>
      </c>
    </row>
    <row r="64" customFormat="false" ht="15" hidden="false" customHeight="false" outlineLevel="0" collapsed="false">
      <c r="A64" s="16" t="s">
        <v>190</v>
      </c>
      <c r="B64" s="16" t="n">
        <v>1</v>
      </c>
      <c r="C64" s="17" t="n">
        <v>83.4</v>
      </c>
      <c r="D64" s="17" t="n">
        <v>83.4</v>
      </c>
    </row>
    <row r="65" customFormat="false" ht="15" hidden="false" customHeight="false" outlineLevel="0" collapsed="false">
      <c r="A65" s="16" t="s">
        <v>191</v>
      </c>
      <c r="B65" s="16" t="n">
        <v>5</v>
      </c>
      <c r="C65" s="17" t="n">
        <v>3.91</v>
      </c>
      <c r="D65" s="17" t="n">
        <v>19.55</v>
      </c>
    </row>
    <row r="66" customFormat="false" ht="15" hidden="false" customHeight="false" outlineLevel="0" collapsed="false">
      <c r="A66" s="16" t="s">
        <v>192</v>
      </c>
      <c r="B66" s="16" t="n">
        <v>0.2</v>
      </c>
      <c r="C66" s="17" t="n">
        <v>18</v>
      </c>
      <c r="D66" s="17" t="n">
        <v>3.6</v>
      </c>
    </row>
    <row r="67" customFormat="false" ht="15" hidden="false" customHeight="false" outlineLevel="0" collapsed="false">
      <c r="A67" s="16" t="s">
        <v>193</v>
      </c>
      <c r="B67" s="16" t="n">
        <v>0.5</v>
      </c>
      <c r="C67" s="17" t="n">
        <v>40</v>
      </c>
      <c r="D67" s="17" t="n">
        <v>20</v>
      </c>
    </row>
    <row r="68" customFormat="false" ht="15" hidden="false" customHeight="false" outlineLevel="0" collapsed="false">
      <c r="A68" s="16" t="s">
        <v>194</v>
      </c>
      <c r="B68" s="16" t="n">
        <v>0</v>
      </c>
      <c r="C68" s="17" t="n">
        <v>40</v>
      </c>
      <c r="D68" s="17" t="n">
        <v>0</v>
      </c>
    </row>
    <row r="69" customFormat="false" ht="15" hidden="false" customHeight="false" outlineLevel="0" collapsed="false">
      <c r="A69" s="16" t="s">
        <v>195</v>
      </c>
      <c r="B69" s="16" t="n">
        <v>0</v>
      </c>
      <c r="C69" s="17" t="n">
        <v>20</v>
      </c>
      <c r="D69" s="17" t="n">
        <v>0</v>
      </c>
    </row>
    <row r="70" customFormat="false" ht="15" hidden="false" customHeight="false" outlineLevel="0" collapsed="false">
      <c r="A70" s="16" t="s">
        <v>196</v>
      </c>
      <c r="B70" s="16" t="n">
        <v>0</v>
      </c>
      <c r="C70" s="17" t="n">
        <v>58</v>
      </c>
      <c r="D70" s="17" t="n">
        <v>0</v>
      </c>
    </row>
    <row r="71" customFormat="false" ht="15" hidden="false" customHeight="false" outlineLevel="0" collapsed="false">
      <c r="A71" s="16" t="s">
        <v>197</v>
      </c>
      <c r="B71" s="16" t="n">
        <v>0.25</v>
      </c>
      <c r="C71" s="17" t="n">
        <v>38</v>
      </c>
      <c r="D71" s="17" t="n">
        <v>9.5</v>
      </c>
    </row>
    <row r="72" customFormat="false" ht="15" hidden="false" customHeight="false" outlineLevel="0" collapsed="false">
      <c r="A72" s="16" t="s">
        <v>198</v>
      </c>
      <c r="B72" s="16" t="n">
        <v>0.25</v>
      </c>
      <c r="C72" s="17" t="n">
        <v>120</v>
      </c>
      <c r="D72" s="17" t="n">
        <v>30</v>
      </c>
    </row>
    <row r="73" customFormat="false" ht="15" hidden="false" customHeight="false" outlineLevel="0" collapsed="false">
      <c r="A73" s="16" t="s">
        <v>199</v>
      </c>
      <c r="B73" s="16" t="n">
        <v>0.25</v>
      </c>
      <c r="C73" s="17" t="n">
        <v>5</v>
      </c>
      <c r="D73" s="17" t="n">
        <v>1.25</v>
      </c>
    </row>
    <row r="74" customFormat="false" ht="15" hidden="false" customHeight="false" outlineLevel="0" collapsed="false">
      <c r="A74" s="16" t="s">
        <v>200</v>
      </c>
      <c r="B74" s="16" t="n">
        <v>0</v>
      </c>
      <c r="C74" s="17" t="n">
        <v>12</v>
      </c>
      <c r="D74" s="17" t="n">
        <v>0</v>
      </c>
    </row>
    <row r="75" customFormat="false" ht="15" hidden="false" customHeight="false" outlineLevel="0" collapsed="false">
      <c r="A75" s="16" t="s">
        <v>201</v>
      </c>
      <c r="B75" s="16" t="n">
        <v>0</v>
      </c>
      <c r="C75" s="17" t="n">
        <v>71</v>
      </c>
      <c r="D75" s="17" t="n">
        <v>0</v>
      </c>
    </row>
    <row r="76" customFormat="false" ht="15" hidden="false" customHeight="false" outlineLevel="0" collapsed="false">
      <c r="A76" s="16" t="s">
        <v>202</v>
      </c>
      <c r="B76" s="16" t="n">
        <v>1</v>
      </c>
      <c r="C76" s="17" t="n">
        <v>36.11</v>
      </c>
      <c r="D76" s="17" t="n">
        <v>36.11</v>
      </c>
    </row>
    <row r="77" customFormat="false" ht="15" hidden="false" customHeight="false" outlineLevel="0" collapsed="false">
      <c r="A77" s="16" t="s">
        <v>203</v>
      </c>
      <c r="B77" s="16" t="n">
        <v>0</v>
      </c>
      <c r="C77" s="17" t="n">
        <v>2.2</v>
      </c>
      <c r="D77" s="17" t="n">
        <v>0</v>
      </c>
    </row>
    <row r="78" customFormat="false" ht="15" hidden="false" customHeight="false" outlineLevel="0" collapsed="false">
      <c r="A78" s="16" t="s">
        <v>204</v>
      </c>
      <c r="B78" s="16" t="n">
        <v>1</v>
      </c>
      <c r="C78" s="17" t="n">
        <v>30</v>
      </c>
      <c r="D78" s="17" t="n">
        <v>30</v>
      </c>
    </row>
    <row r="79" customFormat="false" ht="15" hidden="false" customHeight="false" outlineLevel="0" collapsed="false">
      <c r="A79" s="16" t="s">
        <v>205</v>
      </c>
      <c r="B79" s="16" t="n">
        <v>0</v>
      </c>
      <c r="C79" s="17" t="n">
        <v>8</v>
      </c>
      <c r="D79" s="17" t="n">
        <v>0</v>
      </c>
    </row>
    <row r="80" customFormat="false" ht="15" hidden="false" customHeight="false" outlineLevel="0" collapsed="false">
      <c r="A80" s="16" t="s">
        <v>206</v>
      </c>
      <c r="B80" s="16" t="n">
        <v>1</v>
      </c>
      <c r="C80" s="17" t="n">
        <v>38</v>
      </c>
      <c r="D80" s="17" t="n">
        <v>38</v>
      </c>
    </row>
    <row r="81" customFormat="false" ht="15" hidden="false" customHeight="false" outlineLevel="0" collapsed="false">
      <c r="A81" s="16" t="s">
        <v>207</v>
      </c>
      <c r="B81" s="16" t="n">
        <v>0</v>
      </c>
      <c r="C81" s="17" t="n">
        <v>60</v>
      </c>
      <c r="D81" s="17" t="n">
        <v>0</v>
      </c>
    </row>
    <row r="82" customFormat="false" ht="15" hidden="false" customHeight="false" outlineLevel="0" collapsed="false">
      <c r="A82" s="16" t="s">
        <v>208</v>
      </c>
      <c r="B82" s="16" t="n">
        <v>1</v>
      </c>
      <c r="C82" s="17" t="n">
        <v>19</v>
      </c>
      <c r="D82" s="17" t="n">
        <v>19</v>
      </c>
    </row>
    <row r="83" customFormat="false" ht="15" hidden="false" customHeight="false" outlineLevel="0" collapsed="false">
      <c r="A83" s="16" t="s">
        <v>209</v>
      </c>
      <c r="B83" s="16" t="n">
        <v>8</v>
      </c>
      <c r="C83" s="17" t="n">
        <v>19</v>
      </c>
      <c r="D83" s="17" t="n">
        <v>152</v>
      </c>
    </row>
    <row r="84" customFormat="false" ht="15" hidden="false" customHeight="false" outlineLevel="0" collapsed="false">
      <c r="A84" s="16" t="s">
        <v>210</v>
      </c>
      <c r="B84" s="16" t="n">
        <v>1</v>
      </c>
      <c r="C84" s="17" t="n">
        <v>38</v>
      </c>
      <c r="D84" s="17" t="n">
        <v>38</v>
      </c>
    </row>
    <row r="85" customFormat="false" ht="15" hidden="false" customHeight="false" outlineLevel="0" collapsed="false">
      <c r="A85" s="16" t="s">
        <v>211</v>
      </c>
      <c r="B85" s="16" t="n">
        <v>0</v>
      </c>
      <c r="C85" s="17" t="n">
        <v>40</v>
      </c>
      <c r="D85" s="17" t="n">
        <v>0</v>
      </c>
    </row>
    <row r="86" customFormat="false" ht="15" hidden="false" customHeight="false" outlineLevel="0" collapsed="false">
      <c r="A86" s="7" t="s">
        <v>212</v>
      </c>
      <c r="B86" s="18"/>
      <c r="C86" s="18"/>
      <c r="D86" s="8" t="n">
        <f aca="false">SUM(D55:D85)</f>
        <v>1294.06</v>
      </c>
    </row>
    <row r="88" customFormat="false" ht="15" hidden="false" customHeight="false" outlineLevel="0" collapsed="false">
      <c r="A88" s="9" t="s">
        <v>213</v>
      </c>
      <c r="B88" s="19"/>
      <c r="C88" s="19"/>
      <c r="D88" s="19"/>
    </row>
    <row r="89" customFormat="false" ht="15" hidden="false" customHeight="false" outlineLevel="0" collapsed="false">
      <c r="A89" s="7" t="s">
        <v>29</v>
      </c>
      <c r="B89" s="7" t="s">
        <v>134</v>
      </c>
      <c r="C89" s="7" t="s">
        <v>135</v>
      </c>
      <c r="D89" s="7" t="s">
        <v>136</v>
      </c>
    </row>
    <row r="90" customFormat="false" ht="15" hidden="false" customHeight="false" outlineLevel="0" collapsed="false">
      <c r="A90" s="16" t="s">
        <v>214</v>
      </c>
      <c r="B90" s="16" t="n">
        <v>0</v>
      </c>
      <c r="C90" s="17" t="n">
        <v>30</v>
      </c>
      <c r="D90" s="17" t="n">
        <v>0</v>
      </c>
    </row>
    <row r="91" customFormat="false" ht="15" hidden="false" customHeight="false" outlineLevel="0" collapsed="false">
      <c r="A91" s="16" t="s">
        <v>215</v>
      </c>
      <c r="B91" s="16" t="n">
        <v>8</v>
      </c>
      <c r="C91" s="17" t="n">
        <v>1.5</v>
      </c>
      <c r="D91" s="17" t="n">
        <v>12</v>
      </c>
    </row>
    <row r="92" customFormat="false" ht="15" hidden="false" customHeight="false" outlineLevel="0" collapsed="false">
      <c r="A92" s="16" t="s">
        <v>216</v>
      </c>
      <c r="B92" s="16" t="n">
        <v>3</v>
      </c>
      <c r="C92" s="17" t="n">
        <v>18</v>
      </c>
      <c r="D92" s="17" t="n">
        <v>54</v>
      </c>
    </row>
    <row r="93" customFormat="false" ht="15" hidden="false" customHeight="false" outlineLevel="0" collapsed="false">
      <c r="A93" s="16" t="s">
        <v>217</v>
      </c>
      <c r="B93" s="16" t="n">
        <v>4</v>
      </c>
      <c r="C93" s="17" t="n">
        <v>5</v>
      </c>
      <c r="D93" s="17" t="n">
        <v>20</v>
      </c>
    </row>
    <row r="94" customFormat="false" ht="15" hidden="false" customHeight="false" outlineLevel="0" collapsed="false">
      <c r="A94" s="16" t="s">
        <v>218</v>
      </c>
      <c r="B94" s="16" t="n">
        <v>0</v>
      </c>
      <c r="C94" s="17" t="n">
        <v>10</v>
      </c>
      <c r="D94" s="17" t="n">
        <v>0</v>
      </c>
    </row>
    <row r="95" customFormat="false" ht="15" hidden="false" customHeight="false" outlineLevel="0" collapsed="false">
      <c r="A95" s="16" t="s">
        <v>219</v>
      </c>
      <c r="B95" s="16" t="n">
        <v>0</v>
      </c>
      <c r="C95" s="17" t="n">
        <v>5</v>
      </c>
      <c r="D95" s="17" t="n">
        <v>0</v>
      </c>
    </row>
    <row r="96" customFormat="false" ht="15" hidden="false" customHeight="false" outlineLevel="0" collapsed="false">
      <c r="A96" s="16" t="s">
        <v>220</v>
      </c>
      <c r="B96" s="16" t="n">
        <v>1</v>
      </c>
      <c r="C96" s="17" t="n">
        <v>5</v>
      </c>
      <c r="D96" s="17" t="n">
        <v>5</v>
      </c>
    </row>
    <row r="97" customFormat="false" ht="15" hidden="false" customHeight="false" outlineLevel="0" collapsed="false">
      <c r="A97" s="16" t="s">
        <v>221</v>
      </c>
      <c r="B97" s="16" t="n">
        <v>0</v>
      </c>
      <c r="C97" s="17" t="n">
        <v>5</v>
      </c>
      <c r="D97" s="17" t="n">
        <v>0</v>
      </c>
    </row>
    <row r="98" customFormat="false" ht="15" hidden="false" customHeight="false" outlineLevel="0" collapsed="false">
      <c r="A98" s="16" t="s">
        <v>222</v>
      </c>
      <c r="B98" s="16" t="n">
        <v>2</v>
      </c>
      <c r="C98" s="17" t="n">
        <v>30</v>
      </c>
      <c r="D98" s="17" t="n">
        <v>60</v>
      </c>
    </row>
    <row r="99" customFormat="false" ht="15" hidden="false" customHeight="false" outlineLevel="0" collapsed="false">
      <c r="A99" s="16" t="s">
        <v>223</v>
      </c>
      <c r="B99" s="16" t="n">
        <v>0.5</v>
      </c>
      <c r="C99" s="17" t="n">
        <v>54</v>
      </c>
      <c r="D99" s="17" t="n">
        <v>27</v>
      </c>
    </row>
    <row r="100" customFormat="false" ht="15" hidden="false" customHeight="false" outlineLevel="0" collapsed="false">
      <c r="A100" s="16" t="s">
        <v>224</v>
      </c>
      <c r="B100" s="16" t="n">
        <v>1</v>
      </c>
      <c r="C100" s="17" t="n">
        <v>18</v>
      </c>
      <c r="D100" s="17" t="n">
        <v>18</v>
      </c>
    </row>
    <row r="101" customFormat="false" ht="15" hidden="false" customHeight="false" outlineLevel="0" collapsed="false">
      <c r="A101" s="16" t="s">
        <v>225</v>
      </c>
      <c r="B101" s="16" t="n">
        <v>2</v>
      </c>
      <c r="C101" s="17" t="n">
        <v>10</v>
      </c>
      <c r="D101" s="17" t="n">
        <v>20</v>
      </c>
    </row>
    <row r="102" customFormat="false" ht="15" hidden="false" customHeight="false" outlineLevel="0" collapsed="false">
      <c r="A102" s="16" t="s">
        <v>226</v>
      </c>
      <c r="B102" s="16" t="n">
        <v>0</v>
      </c>
      <c r="C102" s="17" t="n">
        <v>20</v>
      </c>
      <c r="D102" s="17" t="n">
        <v>0</v>
      </c>
    </row>
    <row r="103" customFormat="false" ht="15" hidden="false" customHeight="false" outlineLevel="0" collapsed="false">
      <c r="A103" s="16" t="s">
        <v>227</v>
      </c>
      <c r="B103" s="16" t="n">
        <v>0</v>
      </c>
      <c r="C103" s="17" t="n">
        <v>22</v>
      </c>
      <c r="D103" s="17" t="n">
        <v>0</v>
      </c>
    </row>
    <row r="104" customFormat="false" ht="15" hidden="false" customHeight="false" outlineLevel="0" collapsed="false">
      <c r="A104" s="16" t="s">
        <v>228</v>
      </c>
      <c r="B104" s="16" t="n">
        <v>0</v>
      </c>
      <c r="C104" s="17" t="n">
        <v>20</v>
      </c>
      <c r="D104" s="17" t="n">
        <v>0</v>
      </c>
    </row>
    <row r="105" customFormat="false" ht="15" hidden="false" customHeight="false" outlineLevel="0" collapsed="false">
      <c r="A105" s="16" t="s">
        <v>229</v>
      </c>
      <c r="B105" s="16" t="n">
        <v>0</v>
      </c>
      <c r="C105" s="17" t="n">
        <v>22</v>
      </c>
      <c r="D105" s="17" t="n">
        <v>0</v>
      </c>
    </row>
    <row r="106" customFormat="false" ht="15" hidden="false" customHeight="false" outlineLevel="0" collapsed="false">
      <c r="A106" s="16" t="s">
        <v>230</v>
      </c>
      <c r="B106" s="16" t="n">
        <v>2</v>
      </c>
      <c r="C106" s="17" t="n">
        <v>8</v>
      </c>
      <c r="D106" s="17" t="n">
        <v>16</v>
      </c>
    </row>
    <row r="107" customFormat="false" ht="15" hidden="false" customHeight="false" outlineLevel="0" collapsed="false">
      <c r="A107" s="16" t="s">
        <v>231</v>
      </c>
      <c r="B107" s="16" t="n">
        <v>4</v>
      </c>
      <c r="C107" s="17" t="n">
        <v>5</v>
      </c>
      <c r="D107" s="17" t="n">
        <v>20</v>
      </c>
    </row>
    <row r="108" customFormat="false" ht="15" hidden="false" customHeight="false" outlineLevel="0" collapsed="false">
      <c r="A108" s="16" t="s">
        <v>232</v>
      </c>
      <c r="B108" s="16" t="n">
        <v>5</v>
      </c>
      <c r="C108" s="17" t="n">
        <v>7.5</v>
      </c>
      <c r="D108" s="17" t="n">
        <v>37.5</v>
      </c>
    </row>
    <row r="109" customFormat="false" ht="15" hidden="false" customHeight="false" outlineLevel="0" collapsed="false">
      <c r="A109" s="16" t="s">
        <v>233</v>
      </c>
      <c r="B109" s="16" t="n">
        <v>0</v>
      </c>
      <c r="C109" s="17" t="n">
        <v>30</v>
      </c>
      <c r="D109" s="17" t="n">
        <v>0</v>
      </c>
    </row>
    <row r="110" customFormat="false" ht="15" hidden="false" customHeight="false" outlineLevel="0" collapsed="false">
      <c r="A110" s="16" t="s">
        <v>234</v>
      </c>
      <c r="B110" s="16" t="n">
        <v>5</v>
      </c>
      <c r="C110" s="17" t="n">
        <v>4</v>
      </c>
      <c r="D110" s="17" t="n">
        <v>20</v>
      </c>
    </row>
    <row r="111" customFormat="false" ht="15" hidden="false" customHeight="false" outlineLevel="0" collapsed="false">
      <c r="A111" s="16" t="s">
        <v>235</v>
      </c>
      <c r="B111" s="16" t="n">
        <v>2</v>
      </c>
      <c r="C111" s="17" t="n">
        <v>5</v>
      </c>
      <c r="D111" s="17" t="n">
        <v>10</v>
      </c>
    </row>
    <row r="112" customFormat="false" ht="15" hidden="false" customHeight="false" outlineLevel="0" collapsed="false">
      <c r="A112" s="16" t="s">
        <v>236</v>
      </c>
      <c r="B112" s="16" t="n">
        <v>4</v>
      </c>
      <c r="C112" s="17" t="n">
        <v>4</v>
      </c>
      <c r="D112" s="17" t="n">
        <v>16</v>
      </c>
    </row>
    <row r="113" customFormat="false" ht="15" hidden="false" customHeight="false" outlineLevel="0" collapsed="false">
      <c r="A113" s="16" t="s">
        <v>237</v>
      </c>
      <c r="B113" s="16" t="n">
        <v>0</v>
      </c>
      <c r="C113" s="17" t="n">
        <v>5</v>
      </c>
      <c r="D113" s="17" t="n">
        <v>0</v>
      </c>
    </row>
    <row r="114" customFormat="false" ht="15" hidden="false" customHeight="false" outlineLevel="0" collapsed="false">
      <c r="A114" s="16" t="s">
        <v>238</v>
      </c>
      <c r="B114" s="16" t="n">
        <v>0.5</v>
      </c>
      <c r="C114" s="17" t="n">
        <v>10</v>
      </c>
      <c r="D114" s="17" t="n">
        <v>5</v>
      </c>
    </row>
    <row r="115" customFormat="false" ht="15" hidden="false" customHeight="false" outlineLevel="0" collapsed="false">
      <c r="A115" s="16" t="s">
        <v>239</v>
      </c>
      <c r="B115" s="16" t="n">
        <v>1</v>
      </c>
      <c r="C115" s="17" t="n">
        <v>5</v>
      </c>
      <c r="D115" s="17" t="n">
        <v>5</v>
      </c>
    </row>
    <row r="116" customFormat="false" ht="15" hidden="false" customHeight="false" outlineLevel="0" collapsed="false">
      <c r="A116" s="16" t="s">
        <v>240</v>
      </c>
      <c r="B116" s="16" t="n">
        <v>2</v>
      </c>
      <c r="C116" s="17" t="n">
        <v>5</v>
      </c>
      <c r="D116" s="17" t="n">
        <v>10</v>
      </c>
    </row>
    <row r="117" customFormat="false" ht="15" hidden="false" customHeight="false" outlineLevel="0" collapsed="false">
      <c r="A117" s="16" t="s">
        <v>241</v>
      </c>
      <c r="B117" s="16" t="n">
        <v>0</v>
      </c>
      <c r="C117" s="17" t="n">
        <v>5</v>
      </c>
      <c r="D117" s="17" t="n">
        <v>0</v>
      </c>
    </row>
    <row r="118" customFormat="false" ht="15" hidden="false" customHeight="false" outlineLevel="0" collapsed="false">
      <c r="A118" s="16" t="s">
        <v>242</v>
      </c>
      <c r="B118" s="16" t="n">
        <v>0</v>
      </c>
      <c r="C118" s="17" t="n">
        <v>5</v>
      </c>
      <c r="D118" s="17" t="n">
        <v>0</v>
      </c>
    </row>
    <row r="119" customFormat="false" ht="15" hidden="false" customHeight="false" outlineLevel="0" collapsed="false">
      <c r="A119" s="16" t="s">
        <v>243</v>
      </c>
      <c r="B119" s="16" t="n">
        <v>0.2</v>
      </c>
      <c r="C119" s="17" t="n">
        <v>33.78</v>
      </c>
      <c r="D119" s="17" t="n">
        <v>6.756</v>
      </c>
    </row>
    <row r="120" customFormat="false" ht="15" hidden="false" customHeight="false" outlineLevel="0" collapsed="false">
      <c r="A120" s="16" t="s">
        <v>244</v>
      </c>
      <c r="B120" s="16" t="n">
        <v>4</v>
      </c>
      <c r="C120" s="17" t="n">
        <v>12</v>
      </c>
      <c r="D120" s="17" t="n">
        <v>48</v>
      </c>
    </row>
    <row r="121" customFormat="false" ht="15" hidden="false" customHeight="false" outlineLevel="0" collapsed="false">
      <c r="A121" s="16" t="s">
        <v>245</v>
      </c>
      <c r="B121" s="16" t="n">
        <v>0</v>
      </c>
      <c r="C121" s="17" t="n">
        <v>15</v>
      </c>
      <c r="D121" s="17" t="n">
        <v>0</v>
      </c>
    </row>
    <row r="122" customFormat="false" ht="15" hidden="false" customHeight="false" outlineLevel="0" collapsed="false">
      <c r="A122" s="16" t="s">
        <v>246</v>
      </c>
      <c r="B122" s="16" t="n">
        <v>0</v>
      </c>
      <c r="C122" s="17" t="n">
        <v>10</v>
      </c>
      <c r="D122" s="17" t="n">
        <v>0</v>
      </c>
    </row>
    <row r="123" customFormat="false" ht="15" hidden="false" customHeight="false" outlineLevel="0" collapsed="false">
      <c r="A123" s="16" t="s">
        <v>247</v>
      </c>
      <c r="B123" s="16" t="n">
        <v>2</v>
      </c>
      <c r="C123" s="17" t="n">
        <v>28</v>
      </c>
      <c r="D123" s="17" t="n">
        <v>56</v>
      </c>
    </row>
    <row r="124" customFormat="false" ht="15" hidden="false" customHeight="false" outlineLevel="0" collapsed="false">
      <c r="A124" s="16" t="s">
        <v>248</v>
      </c>
      <c r="B124" s="16" t="n">
        <v>0.5</v>
      </c>
      <c r="C124" s="17" t="n">
        <v>45</v>
      </c>
      <c r="D124" s="17" t="n">
        <v>22.5</v>
      </c>
    </row>
    <row r="125" customFormat="false" ht="15" hidden="false" customHeight="false" outlineLevel="0" collapsed="false">
      <c r="A125" s="16" t="s">
        <v>249</v>
      </c>
      <c r="B125" s="16" t="n">
        <v>1</v>
      </c>
      <c r="C125" s="17" t="n">
        <v>30</v>
      </c>
      <c r="D125" s="17" t="n">
        <v>30</v>
      </c>
    </row>
    <row r="126" customFormat="false" ht="15" hidden="false" customHeight="false" outlineLevel="0" collapsed="false">
      <c r="A126" s="16" t="s">
        <v>250</v>
      </c>
      <c r="B126" s="16" t="n">
        <v>1</v>
      </c>
      <c r="C126" s="17" t="n">
        <v>10</v>
      </c>
      <c r="D126" s="17" t="n">
        <v>10</v>
      </c>
    </row>
    <row r="127" customFormat="false" ht="15" hidden="false" customHeight="false" outlineLevel="0" collapsed="false">
      <c r="A127" s="16" t="s">
        <v>251</v>
      </c>
      <c r="B127" s="16" t="n">
        <v>0</v>
      </c>
      <c r="C127" s="17" t="n">
        <v>20</v>
      </c>
      <c r="D127" s="17" t="n">
        <v>0</v>
      </c>
    </row>
    <row r="128" customFormat="false" ht="15" hidden="false" customHeight="false" outlineLevel="0" collapsed="false">
      <c r="A128" s="16" t="s">
        <v>252</v>
      </c>
      <c r="B128" s="16" t="n">
        <v>0</v>
      </c>
      <c r="C128" s="17" t="n">
        <v>5</v>
      </c>
      <c r="D128" s="17" t="n">
        <v>0</v>
      </c>
    </row>
    <row r="129" customFormat="false" ht="15" hidden="false" customHeight="false" outlineLevel="0" collapsed="false">
      <c r="A129" s="16" t="s">
        <v>253</v>
      </c>
      <c r="B129" s="16" t="n">
        <v>10</v>
      </c>
      <c r="C129" s="17" t="n">
        <v>1</v>
      </c>
      <c r="D129" s="17" t="n">
        <v>10</v>
      </c>
    </row>
    <row r="130" customFormat="false" ht="15" hidden="false" customHeight="false" outlineLevel="0" collapsed="false">
      <c r="A130" s="16" t="s">
        <v>254</v>
      </c>
      <c r="B130" s="16" t="n">
        <v>0</v>
      </c>
      <c r="C130" s="17" t="n">
        <v>45</v>
      </c>
      <c r="D130" s="17" t="n">
        <v>0</v>
      </c>
    </row>
    <row r="131" customFormat="false" ht="15" hidden="false" customHeight="false" outlineLevel="0" collapsed="false">
      <c r="A131" s="16" t="s">
        <v>255</v>
      </c>
      <c r="B131" s="16" t="n">
        <v>3</v>
      </c>
      <c r="C131" s="17" t="n">
        <v>5</v>
      </c>
      <c r="D131" s="17" t="n">
        <v>15</v>
      </c>
    </row>
    <row r="132" customFormat="false" ht="15" hidden="false" customHeight="false" outlineLevel="0" collapsed="false">
      <c r="A132" s="16" t="s">
        <v>256</v>
      </c>
      <c r="B132" s="16" t="n">
        <v>0</v>
      </c>
      <c r="C132" s="17" t="n">
        <v>5</v>
      </c>
      <c r="D132" s="17" t="n">
        <v>0</v>
      </c>
    </row>
    <row r="133" customFormat="false" ht="15" hidden="false" customHeight="false" outlineLevel="0" collapsed="false">
      <c r="A133" s="16" t="s">
        <v>257</v>
      </c>
      <c r="B133" s="16" t="n">
        <v>0</v>
      </c>
      <c r="C133" s="17" t="n">
        <v>20</v>
      </c>
      <c r="D133" s="17" t="n">
        <v>0</v>
      </c>
    </row>
    <row r="134" customFormat="false" ht="15" hidden="false" customHeight="false" outlineLevel="0" collapsed="false">
      <c r="A134" s="16" t="s">
        <v>258</v>
      </c>
      <c r="B134" s="16" t="n">
        <v>0</v>
      </c>
      <c r="C134" s="17" t="n">
        <v>4</v>
      </c>
      <c r="D134" s="17" t="n">
        <v>0</v>
      </c>
    </row>
    <row r="135" customFormat="false" ht="15" hidden="false" customHeight="false" outlineLevel="0" collapsed="false">
      <c r="A135" s="16" t="s">
        <v>259</v>
      </c>
      <c r="B135" s="16" t="n">
        <v>8</v>
      </c>
      <c r="C135" s="17" t="n">
        <v>7</v>
      </c>
      <c r="D135" s="17" t="n">
        <v>56</v>
      </c>
    </row>
    <row r="136" customFormat="false" ht="15" hidden="false" customHeight="false" outlineLevel="0" collapsed="false">
      <c r="A136" s="16" t="s">
        <v>260</v>
      </c>
      <c r="B136" s="16" t="n">
        <v>0</v>
      </c>
      <c r="C136" s="17" t="n">
        <v>4</v>
      </c>
      <c r="D136" s="17" t="n">
        <v>0</v>
      </c>
    </row>
    <row r="137" customFormat="false" ht="15" hidden="false" customHeight="false" outlineLevel="0" collapsed="false">
      <c r="A137" s="16" t="s">
        <v>261</v>
      </c>
      <c r="B137" s="16" t="n">
        <v>0</v>
      </c>
      <c r="C137" s="17" t="n">
        <v>5</v>
      </c>
      <c r="D137" s="17" t="n">
        <v>0</v>
      </c>
    </row>
    <row r="138" customFormat="false" ht="15" hidden="false" customHeight="false" outlineLevel="0" collapsed="false">
      <c r="A138" s="16" t="s">
        <v>262</v>
      </c>
      <c r="B138" s="16" t="n">
        <v>1</v>
      </c>
      <c r="C138" s="17" t="n">
        <v>5</v>
      </c>
      <c r="D138" s="17" t="n">
        <v>5</v>
      </c>
    </row>
    <row r="139" customFormat="false" ht="15" hidden="false" customHeight="false" outlineLevel="0" collapsed="false">
      <c r="A139" s="16" t="s">
        <v>263</v>
      </c>
      <c r="B139" s="16" t="n">
        <v>20</v>
      </c>
      <c r="C139" s="17" t="n">
        <v>3</v>
      </c>
      <c r="D139" s="17" t="n">
        <v>60</v>
      </c>
    </row>
    <row r="140" customFormat="false" ht="15" hidden="false" customHeight="false" outlineLevel="0" collapsed="false">
      <c r="A140" s="16" t="s">
        <v>264</v>
      </c>
      <c r="B140" s="16" t="n">
        <v>2</v>
      </c>
      <c r="C140" s="17" t="n">
        <v>2</v>
      </c>
      <c r="D140" s="17" t="n">
        <v>4</v>
      </c>
    </row>
    <row r="141" customFormat="false" ht="15" hidden="false" customHeight="false" outlineLevel="0" collapsed="false">
      <c r="A141" s="16" t="s">
        <v>265</v>
      </c>
      <c r="B141" s="16" t="n">
        <v>0</v>
      </c>
      <c r="C141" s="17" t="n">
        <v>4</v>
      </c>
      <c r="D141" s="17" t="n">
        <v>0</v>
      </c>
    </row>
    <row r="142" customFormat="false" ht="15" hidden="false" customHeight="false" outlineLevel="0" collapsed="false">
      <c r="A142" s="16" t="s">
        <v>266</v>
      </c>
      <c r="B142" s="16" t="n">
        <v>3</v>
      </c>
      <c r="C142" s="17" t="n">
        <v>3</v>
      </c>
      <c r="D142" s="17" t="n">
        <v>9</v>
      </c>
    </row>
    <row r="143" customFormat="false" ht="15" hidden="false" customHeight="false" outlineLevel="0" collapsed="false">
      <c r="A143" s="16" t="s">
        <v>267</v>
      </c>
      <c r="B143" s="16" t="n">
        <v>1</v>
      </c>
      <c r="C143" s="17" t="n">
        <v>35</v>
      </c>
      <c r="D143" s="17" t="n">
        <v>35</v>
      </c>
    </row>
    <row r="144" customFormat="false" ht="15" hidden="false" customHeight="false" outlineLevel="0" collapsed="false">
      <c r="A144" s="16" t="s">
        <v>268</v>
      </c>
      <c r="B144" s="16" t="n">
        <v>6</v>
      </c>
      <c r="C144" s="17" t="n">
        <v>4</v>
      </c>
      <c r="D144" s="17" t="n">
        <v>24</v>
      </c>
    </row>
    <row r="145" customFormat="false" ht="15" hidden="false" customHeight="false" outlineLevel="0" collapsed="false">
      <c r="A145" s="16" t="s">
        <v>269</v>
      </c>
      <c r="B145" s="16" t="n">
        <v>0</v>
      </c>
      <c r="C145" s="17" t="n">
        <v>5</v>
      </c>
      <c r="D145" s="17" t="n">
        <v>0</v>
      </c>
    </row>
    <row r="146" customFormat="false" ht="15" hidden="false" customHeight="false" outlineLevel="0" collapsed="false">
      <c r="A146" s="16" t="s">
        <v>198</v>
      </c>
      <c r="B146" s="16" t="n">
        <v>0</v>
      </c>
      <c r="C146" s="17" t="n">
        <v>45</v>
      </c>
      <c r="D146" s="17" t="n">
        <v>0</v>
      </c>
    </row>
    <row r="147" customFormat="false" ht="15" hidden="false" customHeight="false" outlineLevel="0" collapsed="false">
      <c r="A147" s="16" t="s">
        <v>270</v>
      </c>
      <c r="B147" s="16" t="n">
        <v>0</v>
      </c>
      <c r="C147" s="17" t="n">
        <v>0</v>
      </c>
      <c r="D147" s="17" t="n">
        <v>0</v>
      </c>
    </row>
    <row r="148" customFormat="false" ht="15" hidden="false" customHeight="false" outlineLevel="0" collapsed="false">
      <c r="A148" s="16" t="s">
        <v>271</v>
      </c>
      <c r="B148" s="16" t="n">
        <v>0</v>
      </c>
      <c r="C148" s="17" t="n">
        <v>0</v>
      </c>
      <c r="D148" s="17" t="n">
        <v>0</v>
      </c>
    </row>
    <row r="149" customFormat="false" ht="15" hidden="false" customHeight="false" outlineLevel="0" collapsed="false">
      <c r="A149" s="16" t="s">
        <v>272</v>
      </c>
      <c r="B149" s="16" t="n">
        <v>5</v>
      </c>
      <c r="C149" s="17" t="n">
        <v>5</v>
      </c>
      <c r="D149" s="17" t="n">
        <v>25</v>
      </c>
    </row>
    <row r="150" customFormat="false" ht="15" hidden="false" customHeight="false" outlineLevel="0" collapsed="false">
      <c r="A150" s="16" t="s">
        <v>273</v>
      </c>
      <c r="B150" s="16" t="n">
        <v>0</v>
      </c>
      <c r="C150" s="17" t="n">
        <v>1</v>
      </c>
      <c r="D150" s="17" t="n">
        <v>0</v>
      </c>
    </row>
    <row r="151" customFormat="false" ht="15" hidden="false" customHeight="false" outlineLevel="0" collapsed="false">
      <c r="A151" s="16" t="s">
        <v>274</v>
      </c>
      <c r="B151" s="16" t="n">
        <v>0</v>
      </c>
      <c r="C151" s="17" t="n">
        <v>10</v>
      </c>
      <c r="D151" s="17" t="n">
        <v>0</v>
      </c>
    </row>
    <row r="152" customFormat="false" ht="15" hidden="false" customHeight="false" outlineLevel="0" collapsed="false">
      <c r="A152" s="16" t="s">
        <v>275</v>
      </c>
      <c r="B152" s="16" t="n">
        <v>3</v>
      </c>
      <c r="C152" s="17" t="n">
        <v>5</v>
      </c>
      <c r="D152" s="17" t="n">
        <v>15</v>
      </c>
    </row>
    <row r="153" customFormat="false" ht="15" hidden="false" customHeight="false" outlineLevel="0" collapsed="false">
      <c r="A153" s="16" t="s">
        <v>276</v>
      </c>
      <c r="B153" s="16" t="n">
        <v>0</v>
      </c>
      <c r="C153" s="17" t="n">
        <v>0</v>
      </c>
      <c r="D153" s="17" t="n">
        <v>0</v>
      </c>
    </row>
    <row r="154" customFormat="false" ht="15" hidden="false" customHeight="false" outlineLevel="0" collapsed="false">
      <c r="A154" s="16" t="s">
        <v>277</v>
      </c>
      <c r="B154" s="16" t="n">
        <v>0</v>
      </c>
      <c r="C154" s="17" t="n">
        <v>0</v>
      </c>
      <c r="D154" s="17" t="n">
        <v>0</v>
      </c>
    </row>
    <row r="155" customFormat="false" ht="15" hidden="false" customHeight="false" outlineLevel="0" collapsed="false">
      <c r="A155" s="16" t="s">
        <v>278</v>
      </c>
      <c r="B155" s="16" t="n">
        <v>0</v>
      </c>
      <c r="C155" s="17" t="n">
        <v>0</v>
      </c>
      <c r="D155" s="17" t="n">
        <v>0</v>
      </c>
    </row>
    <row r="156" customFormat="false" ht="15" hidden="false" customHeight="false" outlineLevel="0" collapsed="false">
      <c r="A156" s="16" t="s">
        <v>279</v>
      </c>
      <c r="B156" s="16" t="n">
        <v>8</v>
      </c>
      <c r="C156" s="17" t="n">
        <v>15</v>
      </c>
      <c r="D156" s="17" t="n">
        <v>120</v>
      </c>
    </row>
    <row r="157" customFormat="false" ht="15" hidden="false" customHeight="false" outlineLevel="0" collapsed="false">
      <c r="A157" s="16" t="s">
        <v>280</v>
      </c>
      <c r="B157" s="16" t="n">
        <v>15</v>
      </c>
      <c r="C157" s="17" t="n">
        <v>5</v>
      </c>
      <c r="D157" s="17" t="n">
        <v>75</v>
      </c>
    </row>
    <row r="158" customFormat="false" ht="15" hidden="false" customHeight="false" outlineLevel="0" collapsed="false">
      <c r="A158" s="16" t="s">
        <v>281</v>
      </c>
      <c r="B158" s="16" t="n">
        <v>0</v>
      </c>
      <c r="C158" s="17" t="n">
        <v>8</v>
      </c>
      <c r="D158" s="17" t="n">
        <v>0</v>
      </c>
    </row>
    <row r="159" customFormat="false" ht="15" hidden="false" customHeight="false" outlineLevel="0" collapsed="false">
      <c r="A159" s="16" t="s">
        <v>282</v>
      </c>
      <c r="B159" s="16" t="n">
        <v>0</v>
      </c>
      <c r="C159" s="17" t="n">
        <v>25</v>
      </c>
      <c r="D159" s="17" t="n">
        <v>0</v>
      </c>
    </row>
    <row r="160" customFormat="false" ht="15" hidden="false" customHeight="false" outlineLevel="0" collapsed="false">
      <c r="A160" s="16" t="s">
        <v>283</v>
      </c>
      <c r="B160" s="16" t="n">
        <v>6</v>
      </c>
      <c r="C160" s="17" t="n">
        <v>8</v>
      </c>
      <c r="D160" s="17" t="n">
        <v>48</v>
      </c>
    </row>
    <row r="161" customFormat="false" ht="15" hidden="false" customHeight="false" outlineLevel="0" collapsed="false">
      <c r="A161" s="16" t="s">
        <v>284</v>
      </c>
      <c r="B161" s="16" t="n">
        <v>4</v>
      </c>
      <c r="C161" s="17" t="n">
        <v>10</v>
      </c>
      <c r="D161" s="17" t="n">
        <v>40</v>
      </c>
    </row>
    <row r="162" customFormat="false" ht="15" hidden="false" customHeight="false" outlineLevel="0" collapsed="false">
      <c r="A162" s="16" t="s">
        <v>285</v>
      </c>
      <c r="B162" s="16" t="n">
        <v>1</v>
      </c>
      <c r="C162" s="17" t="n">
        <v>2</v>
      </c>
      <c r="D162" s="17" t="n">
        <v>2</v>
      </c>
    </row>
    <row r="163" customFormat="false" ht="15" hidden="false" customHeight="false" outlineLevel="0" collapsed="false">
      <c r="A163" s="16" t="s">
        <v>286</v>
      </c>
      <c r="B163" s="16" t="n">
        <v>3</v>
      </c>
      <c r="C163" s="17" t="n">
        <v>3</v>
      </c>
      <c r="D163" s="17" t="n">
        <v>9</v>
      </c>
    </row>
    <row r="164" customFormat="false" ht="15" hidden="false" customHeight="false" outlineLevel="0" collapsed="false">
      <c r="A164" s="7" t="s">
        <v>287</v>
      </c>
      <c r="B164" s="18"/>
      <c r="C164" s="18"/>
      <c r="D164" s="8" t="n">
        <f aca="false">SUM(D90:D163)</f>
        <v>1080.756</v>
      </c>
    </row>
    <row r="166" customFormat="false" ht="15" hidden="false" customHeight="false" outlineLevel="0" collapsed="false">
      <c r="A166" s="9" t="s">
        <v>288</v>
      </c>
      <c r="B166" s="19"/>
      <c r="C166" s="19"/>
      <c r="D166" s="19"/>
    </row>
    <row r="167" customFormat="false" ht="15" hidden="false" customHeight="false" outlineLevel="0" collapsed="false">
      <c r="A167" s="7" t="s">
        <v>29</v>
      </c>
      <c r="B167" s="7" t="s">
        <v>134</v>
      </c>
      <c r="C167" s="7" t="s">
        <v>135</v>
      </c>
      <c r="D167" s="7" t="s">
        <v>136</v>
      </c>
    </row>
    <row r="168" customFormat="false" ht="15" hidden="false" customHeight="false" outlineLevel="0" collapsed="false">
      <c r="A168" s="16" t="s">
        <v>289</v>
      </c>
      <c r="B168" s="16" t="n">
        <v>0.5</v>
      </c>
      <c r="C168" s="17" t="n">
        <v>15</v>
      </c>
      <c r="D168" s="17" t="n">
        <v>7.5</v>
      </c>
    </row>
    <row r="169" customFormat="false" ht="15" hidden="false" customHeight="false" outlineLevel="0" collapsed="false">
      <c r="A169" s="16" t="s">
        <v>290</v>
      </c>
      <c r="B169" s="16" t="n">
        <v>1</v>
      </c>
      <c r="C169" s="17" t="n">
        <v>35</v>
      </c>
      <c r="D169" s="17" t="n">
        <v>35</v>
      </c>
    </row>
    <row r="170" customFormat="false" ht="15" hidden="false" customHeight="false" outlineLevel="0" collapsed="false">
      <c r="A170" s="16" t="s">
        <v>291</v>
      </c>
      <c r="B170" s="16" t="n">
        <v>2</v>
      </c>
      <c r="C170" s="17" t="n">
        <v>50</v>
      </c>
      <c r="D170" s="17" t="n">
        <v>100</v>
      </c>
    </row>
    <row r="171" customFormat="false" ht="15" hidden="false" customHeight="false" outlineLevel="0" collapsed="false">
      <c r="A171" s="16" t="s">
        <v>292</v>
      </c>
      <c r="B171" s="16" t="n">
        <v>1</v>
      </c>
      <c r="C171" s="17" t="n">
        <v>30</v>
      </c>
      <c r="D171" s="17" t="n">
        <v>30</v>
      </c>
    </row>
    <row r="172" customFormat="false" ht="15" hidden="false" customHeight="false" outlineLevel="0" collapsed="false">
      <c r="A172" s="16" t="s">
        <v>293</v>
      </c>
      <c r="B172" s="16" t="n">
        <v>2</v>
      </c>
      <c r="C172" s="17" t="n">
        <v>20</v>
      </c>
      <c r="D172" s="17" t="n">
        <v>40</v>
      </c>
    </row>
    <row r="173" customFormat="false" ht="15" hidden="false" customHeight="false" outlineLevel="0" collapsed="false">
      <c r="A173" s="16" t="s">
        <v>294</v>
      </c>
      <c r="B173" s="16" t="n">
        <v>3</v>
      </c>
      <c r="C173" s="17" t="n">
        <v>20</v>
      </c>
      <c r="D173" s="17" t="n">
        <v>60</v>
      </c>
    </row>
    <row r="174" customFormat="false" ht="15" hidden="false" customHeight="false" outlineLevel="0" collapsed="false">
      <c r="A174" s="16" t="s">
        <v>295</v>
      </c>
      <c r="B174" s="16" t="n">
        <v>5</v>
      </c>
      <c r="C174" s="17" t="n">
        <v>15</v>
      </c>
      <c r="D174" s="17" t="n">
        <v>75</v>
      </c>
    </row>
    <row r="175" customFormat="false" ht="15" hidden="false" customHeight="false" outlineLevel="0" collapsed="false">
      <c r="A175" s="16" t="s">
        <v>296</v>
      </c>
      <c r="B175" s="16" t="n">
        <v>2</v>
      </c>
      <c r="C175" s="17" t="n">
        <v>5</v>
      </c>
      <c r="D175" s="17" t="n">
        <v>10</v>
      </c>
    </row>
    <row r="176" customFormat="false" ht="15" hidden="false" customHeight="false" outlineLevel="0" collapsed="false">
      <c r="A176" s="16" t="s">
        <v>297</v>
      </c>
      <c r="B176" s="16" t="n">
        <v>2</v>
      </c>
      <c r="C176" s="17" t="n">
        <v>30</v>
      </c>
      <c r="D176" s="17" t="n">
        <v>60</v>
      </c>
    </row>
    <row r="177" customFormat="false" ht="15" hidden="false" customHeight="false" outlineLevel="0" collapsed="false">
      <c r="A177" s="16" t="s">
        <v>298</v>
      </c>
      <c r="B177" s="16" t="n">
        <v>1</v>
      </c>
      <c r="C177" s="17" t="n">
        <v>15</v>
      </c>
      <c r="D177" s="17" t="n">
        <v>15</v>
      </c>
    </row>
    <row r="178" customFormat="false" ht="15" hidden="false" customHeight="false" outlineLevel="0" collapsed="false">
      <c r="A178" s="16" t="s">
        <v>299</v>
      </c>
      <c r="B178" s="16" t="n">
        <v>1</v>
      </c>
      <c r="C178" s="17" t="n">
        <v>15</v>
      </c>
      <c r="D178" s="17" t="n">
        <v>15</v>
      </c>
    </row>
    <row r="179" customFormat="false" ht="15" hidden="false" customHeight="false" outlineLevel="0" collapsed="false">
      <c r="A179" s="16" t="s">
        <v>300</v>
      </c>
      <c r="B179" s="16" t="n">
        <v>2</v>
      </c>
      <c r="C179" s="17" t="n">
        <v>15</v>
      </c>
      <c r="D179" s="17" t="n">
        <v>30</v>
      </c>
    </row>
    <row r="180" customFormat="false" ht="15" hidden="false" customHeight="false" outlineLevel="0" collapsed="false">
      <c r="A180" s="16" t="s">
        <v>301</v>
      </c>
      <c r="B180" s="16" t="n">
        <v>0</v>
      </c>
      <c r="C180" s="17" t="n">
        <v>45</v>
      </c>
      <c r="D180" s="17" t="n">
        <v>0</v>
      </c>
    </row>
    <row r="181" customFormat="false" ht="15" hidden="false" customHeight="false" outlineLevel="0" collapsed="false">
      <c r="A181" s="16" t="s">
        <v>302</v>
      </c>
      <c r="B181" s="16" t="n">
        <v>1</v>
      </c>
      <c r="C181" s="17" t="n">
        <v>25</v>
      </c>
      <c r="D181" s="17" t="n">
        <v>25</v>
      </c>
    </row>
    <row r="182" customFormat="false" ht="15" hidden="false" customHeight="false" outlineLevel="0" collapsed="false">
      <c r="A182" s="16" t="s">
        <v>303</v>
      </c>
      <c r="B182" s="16" t="n">
        <v>5</v>
      </c>
      <c r="C182" s="17" t="n">
        <v>15</v>
      </c>
      <c r="D182" s="17" t="n">
        <v>75</v>
      </c>
    </row>
    <row r="183" customFormat="false" ht="15" hidden="false" customHeight="false" outlineLevel="0" collapsed="false">
      <c r="A183" s="16" t="s">
        <v>304</v>
      </c>
      <c r="B183" s="16" t="n">
        <v>3</v>
      </c>
      <c r="C183" s="17" t="n">
        <v>4</v>
      </c>
      <c r="D183" s="17" t="n">
        <v>12</v>
      </c>
    </row>
    <row r="184" customFormat="false" ht="15" hidden="false" customHeight="false" outlineLevel="0" collapsed="false">
      <c r="A184" s="16" t="s">
        <v>305</v>
      </c>
      <c r="B184" s="16" t="n">
        <v>2</v>
      </c>
      <c r="C184" s="17" t="n">
        <v>3</v>
      </c>
      <c r="D184" s="17" t="n">
        <v>6</v>
      </c>
    </row>
    <row r="185" customFormat="false" ht="15" hidden="false" customHeight="false" outlineLevel="0" collapsed="false">
      <c r="A185" s="16" t="s">
        <v>265</v>
      </c>
      <c r="B185" s="16" t="n">
        <v>2</v>
      </c>
      <c r="C185" s="17" t="n">
        <v>25</v>
      </c>
      <c r="D185" s="17" t="n">
        <v>50</v>
      </c>
    </row>
    <row r="186" customFormat="false" ht="15" hidden="false" customHeight="false" outlineLevel="0" collapsed="false">
      <c r="A186" s="16" t="s">
        <v>306</v>
      </c>
      <c r="B186" s="16" t="n">
        <v>1</v>
      </c>
      <c r="C186" s="17" t="n">
        <v>30</v>
      </c>
      <c r="D186" s="17" t="n">
        <v>30</v>
      </c>
    </row>
    <row r="187" customFormat="false" ht="15" hidden="false" customHeight="false" outlineLevel="0" collapsed="false">
      <c r="A187" s="16" t="s">
        <v>307</v>
      </c>
      <c r="B187" s="16" t="n">
        <v>2</v>
      </c>
      <c r="C187" s="17" t="n">
        <v>15</v>
      </c>
      <c r="D187" s="17" t="n">
        <v>30</v>
      </c>
    </row>
    <row r="188" customFormat="false" ht="15" hidden="false" customHeight="false" outlineLevel="0" collapsed="false">
      <c r="A188" s="16" t="s">
        <v>308</v>
      </c>
      <c r="B188" s="16" t="n">
        <v>7</v>
      </c>
      <c r="C188" s="17" t="n">
        <v>7</v>
      </c>
      <c r="D188" s="17" t="n">
        <v>49</v>
      </c>
    </row>
    <row r="189" customFormat="false" ht="15" hidden="false" customHeight="false" outlineLevel="0" collapsed="false">
      <c r="A189" s="16" t="s">
        <v>309</v>
      </c>
      <c r="B189" s="16" t="n">
        <v>1</v>
      </c>
      <c r="C189" s="17" t="n">
        <v>3</v>
      </c>
      <c r="D189" s="17" t="n">
        <v>3</v>
      </c>
    </row>
    <row r="190" customFormat="false" ht="15" hidden="false" customHeight="false" outlineLevel="0" collapsed="false">
      <c r="A190" s="16" t="s">
        <v>310</v>
      </c>
      <c r="B190" s="16" t="n">
        <v>2</v>
      </c>
      <c r="C190" s="17" t="n">
        <v>35</v>
      </c>
      <c r="D190" s="17" t="n">
        <v>70</v>
      </c>
    </row>
    <row r="191" customFormat="false" ht="15" hidden="false" customHeight="false" outlineLevel="0" collapsed="false">
      <c r="A191" s="16" t="s">
        <v>311</v>
      </c>
      <c r="B191" s="16" t="n">
        <v>6</v>
      </c>
      <c r="C191" s="17" t="n">
        <v>3</v>
      </c>
      <c r="D191" s="17" t="n">
        <v>18</v>
      </c>
    </row>
    <row r="192" customFormat="false" ht="15" hidden="false" customHeight="false" outlineLevel="0" collapsed="false">
      <c r="A192" s="16" t="s">
        <v>312</v>
      </c>
      <c r="B192" s="16" t="n">
        <v>0</v>
      </c>
      <c r="C192" s="17" t="n">
        <v>5</v>
      </c>
      <c r="D192" s="17" t="n">
        <v>0</v>
      </c>
    </row>
    <row r="193" customFormat="false" ht="15" hidden="false" customHeight="false" outlineLevel="0" collapsed="false">
      <c r="A193" s="16" t="s">
        <v>313</v>
      </c>
      <c r="B193" s="16" t="n">
        <v>0</v>
      </c>
      <c r="C193" s="17" t="n">
        <v>5</v>
      </c>
      <c r="D193" s="17" t="n">
        <v>0</v>
      </c>
    </row>
    <row r="194" customFormat="false" ht="15" hidden="false" customHeight="false" outlineLevel="0" collapsed="false">
      <c r="A194" s="16" t="s">
        <v>314</v>
      </c>
      <c r="B194" s="16" t="n">
        <v>1</v>
      </c>
      <c r="C194" s="17" t="n">
        <v>12</v>
      </c>
      <c r="D194" s="17" t="n">
        <v>12</v>
      </c>
    </row>
    <row r="195" customFormat="false" ht="15" hidden="false" customHeight="false" outlineLevel="0" collapsed="false">
      <c r="A195" s="16" t="s">
        <v>315</v>
      </c>
      <c r="B195" s="16" t="n">
        <v>15</v>
      </c>
      <c r="C195" s="17" t="n">
        <v>2</v>
      </c>
      <c r="D195" s="17" t="n">
        <v>30</v>
      </c>
    </row>
    <row r="196" customFormat="false" ht="15" hidden="false" customHeight="false" outlineLevel="0" collapsed="false">
      <c r="A196" s="16" t="s">
        <v>316</v>
      </c>
      <c r="B196" s="16" t="n">
        <v>1</v>
      </c>
      <c r="C196" s="17" t="n">
        <v>18</v>
      </c>
      <c r="D196" s="17" t="n">
        <v>18</v>
      </c>
    </row>
    <row r="197" customFormat="false" ht="15" hidden="false" customHeight="false" outlineLevel="0" collapsed="false">
      <c r="A197" s="16" t="s">
        <v>317</v>
      </c>
      <c r="B197" s="16" t="n">
        <v>8</v>
      </c>
      <c r="C197" s="17" t="n">
        <v>5</v>
      </c>
      <c r="D197" s="17" t="n">
        <v>40</v>
      </c>
    </row>
    <row r="198" customFormat="false" ht="15" hidden="false" customHeight="false" outlineLevel="0" collapsed="false">
      <c r="A198" s="16" t="s">
        <v>318</v>
      </c>
      <c r="B198" s="16" t="n">
        <v>0</v>
      </c>
      <c r="C198" s="17" t="n">
        <v>3</v>
      </c>
      <c r="D198" s="17" t="n">
        <v>0</v>
      </c>
    </row>
    <row r="199" customFormat="false" ht="15" hidden="false" customHeight="false" outlineLevel="0" collapsed="false">
      <c r="A199" s="16" t="s">
        <v>319</v>
      </c>
      <c r="B199" s="16" t="n">
        <v>1</v>
      </c>
      <c r="C199" s="17" t="n">
        <v>25</v>
      </c>
      <c r="D199" s="17" t="n">
        <v>25</v>
      </c>
    </row>
    <row r="200" customFormat="false" ht="15" hidden="false" customHeight="false" outlineLevel="0" collapsed="false">
      <c r="A200" s="16" t="s">
        <v>320</v>
      </c>
      <c r="B200" s="16" t="n">
        <v>0</v>
      </c>
      <c r="C200" s="17" t="n">
        <v>15</v>
      </c>
      <c r="D200" s="17" t="n">
        <v>0</v>
      </c>
    </row>
    <row r="201" customFormat="false" ht="15" hidden="false" customHeight="false" outlineLevel="0" collapsed="false">
      <c r="A201" s="16" t="s">
        <v>321</v>
      </c>
      <c r="B201" s="16" t="n">
        <v>0</v>
      </c>
      <c r="C201" s="17" t="n">
        <v>60</v>
      </c>
      <c r="D201" s="17" t="n">
        <v>0</v>
      </c>
    </row>
    <row r="202" customFormat="false" ht="15" hidden="false" customHeight="false" outlineLevel="0" collapsed="false">
      <c r="A202" s="16" t="s">
        <v>322</v>
      </c>
      <c r="B202" s="16" t="n">
        <v>2</v>
      </c>
      <c r="C202" s="17" t="n">
        <v>35</v>
      </c>
      <c r="D202" s="17" t="n">
        <v>70</v>
      </c>
    </row>
    <row r="203" customFormat="false" ht="15" hidden="false" customHeight="false" outlineLevel="0" collapsed="false">
      <c r="A203" s="16" t="s">
        <v>323</v>
      </c>
      <c r="B203" s="16" t="n">
        <v>1</v>
      </c>
      <c r="C203" s="17" t="n">
        <v>50</v>
      </c>
      <c r="D203" s="17" t="n">
        <v>50</v>
      </c>
    </row>
    <row r="204" customFormat="false" ht="15" hidden="false" customHeight="false" outlineLevel="0" collapsed="false">
      <c r="A204" s="16" t="s">
        <v>324</v>
      </c>
      <c r="B204" s="16" t="n">
        <v>2</v>
      </c>
      <c r="C204" s="17" t="n">
        <v>35</v>
      </c>
      <c r="D204" s="17" t="n">
        <v>70</v>
      </c>
    </row>
    <row r="205" customFormat="false" ht="15" hidden="false" customHeight="false" outlineLevel="0" collapsed="false">
      <c r="A205" s="16" t="s">
        <v>325</v>
      </c>
      <c r="B205" s="16" t="n">
        <v>2</v>
      </c>
      <c r="C205" s="17" t="n">
        <v>15</v>
      </c>
      <c r="D205" s="17" t="n">
        <v>30</v>
      </c>
    </row>
    <row r="206" customFormat="false" ht="15" hidden="false" customHeight="false" outlineLevel="0" collapsed="false">
      <c r="A206" s="16" t="s">
        <v>326</v>
      </c>
      <c r="B206" s="16" t="n">
        <v>2</v>
      </c>
      <c r="C206" s="17" t="n">
        <v>20</v>
      </c>
      <c r="D206" s="17" t="n">
        <v>40</v>
      </c>
    </row>
    <row r="207" customFormat="false" ht="15" hidden="false" customHeight="false" outlineLevel="0" collapsed="false">
      <c r="A207" s="16" t="s">
        <v>327</v>
      </c>
      <c r="B207" s="16" t="n">
        <v>1</v>
      </c>
      <c r="C207" s="17" t="n">
        <v>15</v>
      </c>
      <c r="D207" s="17" t="n">
        <v>15</v>
      </c>
    </row>
    <row r="208" customFormat="false" ht="15" hidden="false" customHeight="false" outlineLevel="0" collapsed="false">
      <c r="A208" s="16" t="s">
        <v>328</v>
      </c>
      <c r="B208" s="16" t="n">
        <v>1</v>
      </c>
      <c r="C208" s="17" t="n">
        <v>10</v>
      </c>
      <c r="D208" s="17" t="n">
        <v>10</v>
      </c>
    </row>
    <row r="209" customFormat="false" ht="15" hidden="false" customHeight="false" outlineLevel="0" collapsed="false">
      <c r="A209" s="16" t="s">
        <v>329</v>
      </c>
      <c r="B209" s="16" t="n">
        <v>2</v>
      </c>
      <c r="C209" s="17" t="n">
        <v>23</v>
      </c>
      <c r="D209" s="17" t="n">
        <v>46</v>
      </c>
    </row>
    <row r="210" customFormat="false" ht="15" hidden="false" customHeight="false" outlineLevel="0" collapsed="false">
      <c r="A210" s="16" t="s">
        <v>330</v>
      </c>
      <c r="B210" s="16" t="n">
        <v>1</v>
      </c>
      <c r="C210" s="17" t="n">
        <v>18</v>
      </c>
      <c r="D210" s="17" t="n">
        <v>18</v>
      </c>
    </row>
    <row r="211" customFormat="false" ht="15" hidden="false" customHeight="false" outlineLevel="0" collapsed="false">
      <c r="A211" s="16" t="s">
        <v>331</v>
      </c>
      <c r="B211" s="16" t="n">
        <v>2</v>
      </c>
      <c r="C211" s="17" t="n">
        <v>15</v>
      </c>
      <c r="D211" s="17" t="n">
        <v>30</v>
      </c>
    </row>
    <row r="212" customFormat="false" ht="15" hidden="false" customHeight="false" outlineLevel="0" collapsed="false">
      <c r="A212" s="16" t="s">
        <v>332</v>
      </c>
      <c r="B212" s="16" t="n">
        <v>2</v>
      </c>
      <c r="C212" s="17" t="n">
        <v>8</v>
      </c>
      <c r="D212" s="17" t="n">
        <v>16</v>
      </c>
    </row>
    <row r="213" customFormat="false" ht="15" hidden="false" customHeight="false" outlineLevel="0" collapsed="false">
      <c r="A213" s="16" t="s">
        <v>333</v>
      </c>
      <c r="B213" s="16" t="n">
        <v>1.25</v>
      </c>
      <c r="C213" s="17" t="n">
        <v>56</v>
      </c>
      <c r="D213" s="17" t="n">
        <v>70</v>
      </c>
    </row>
    <row r="214" customFormat="false" ht="15" hidden="false" customHeight="false" outlineLevel="0" collapsed="false">
      <c r="A214" s="16" t="s">
        <v>334</v>
      </c>
      <c r="B214" s="16" t="n">
        <v>2</v>
      </c>
      <c r="C214" s="17" t="n">
        <v>120</v>
      </c>
      <c r="D214" s="17" t="n">
        <v>240</v>
      </c>
    </row>
    <row r="215" customFormat="false" ht="15" hidden="false" customHeight="false" outlineLevel="0" collapsed="false">
      <c r="A215" s="16" t="s">
        <v>335</v>
      </c>
      <c r="B215" s="16" t="n">
        <v>1</v>
      </c>
      <c r="C215" s="17" t="n">
        <v>25</v>
      </c>
      <c r="D215" s="17" t="n">
        <v>25</v>
      </c>
    </row>
    <row r="216" customFormat="false" ht="15" hidden="false" customHeight="false" outlineLevel="0" collapsed="false">
      <c r="A216" s="16" t="s">
        <v>336</v>
      </c>
      <c r="B216" s="16" t="n">
        <v>1</v>
      </c>
      <c r="C216" s="17" t="n">
        <v>0</v>
      </c>
      <c r="D216" s="17" t="n">
        <v>0</v>
      </c>
    </row>
    <row r="217" customFormat="false" ht="15" hidden="false" customHeight="false" outlineLevel="0" collapsed="false">
      <c r="A217" s="16" t="s">
        <v>337</v>
      </c>
      <c r="B217" s="16" t="n">
        <v>2</v>
      </c>
      <c r="C217" s="17" t="n">
        <v>54</v>
      </c>
      <c r="D217" s="17" t="n">
        <v>108</v>
      </c>
    </row>
    <row r="218" customFormat="false" ht="15" hidden="false" customHeight="false" outlineLevel="0" collapsed="false">
      <c r="A218" s="16" t="s">
        <v>338</v>
      </c>
      <c r="B218" s="16" t="n">
        <v>3</v>
      </c>
      <c r="C218" s="17" t="n">
        <v>16</v>
      </c>
      <c r="D218" s="17" t="n">
        <v>48</v>
      </c>
    </row>
    <row r="219" customFormat="false" ht="15" hidden="false" customHeight="false" outlineLevel="0" collapsed="false">
      <c r="A219" s="16" t="s">
        <v>339</v>
      </c>
      <c r="B219" s="16" t="n">
        <v>2</v>
      </c>
      <c r="C219" s="17" t="n">
        <v>15</v>
      </c>
      <c r="D219" s="17" t="n">
        <v>30</v>
      </c>
    </row>
    <row r="220" customFormat="false" ht="15" hidden="false" customHeight="false" outlineLevel="0" collapsed="false">
      <c r="A220" s="16" t="s">
        <v>340</v>
      </c>
      <c r="B220" s="16" t="n">
        <v>2</v>
      </c>
      <c r="C220" s="17" t="n">
        <v>12</v>
      </c>
      <c r="D220" s="17" t="n">
        <v>24</v>
      </c>
    </row>
    <row r="221" customFormat="false" ht="15" hidden="false" customHeight="false" outlineLevel="0" collapsed="false">
      <c r="A221" s="16" t="s">
        <v>341</v>
      </c>
      <c r="B221" s="16" t="n">
        <v>7</v>
      </c>
      <c r="C221" s="17" t="n">
        <v>6</v>
      </c>
      <c r="D221" s="17" t="n">
        <v>42</v>
      </c>
    </row>
    <row r="222" customFormat="false" ht="15" hidden="false" customHeight="false" outlineLevel="0" collapsed="false">
      <c r="A222" s="16" t="s">
        <v>342</v>
      </c>
      <c r="B222" s="16" t="n">
        <v>1</v>
      </c>
      <c r="C222" s="17" t="n">
        <v>30</v>
      </c>
      <c r="D222" s="17" t="n">
        <v>30</v>
      </c>
    </row>
    <row r="223" customFormat="false" ht="15" hidden="false" customHeight="false" outlineLevel="0" collapsed="false">
      <c r="A223" s="16" t="s">
        <v>343</v>
      </c>
      <c r="B223" s="16" t="n">
        <v>0</v>
      </c>
      <c r="C223" s="17" t="n">
        <v>26.5</v>
      </c>
      <c r="D223" s="17" t="n">
        <v>0</v>
      </c>
    </row>
    <row r="224" customFormat="false" ht="15" hidden="false" customHeight="false" outlineLevel="0" collapsed="false">
      <c r="A224" s="7" t="s">
        <v>344</v>
      </c>
      <c r="B224" s="18"/>
      <c r="C224" s="18"/>
      <c r="D224" s="8" t="n">
        <f aca="false">SUM(D168:D223)</f>
        <v>1982.5</v>
      </c>
    </row>
    <row r="226" customFormat="false" ht="15" hidden="false" customHeight="false" outlineLevel="0" collapsed="false">
      <c r="A226" s="9" t="s">
        <v>345</v>
      </c>
      <c r="B226" s="19"/>
      <c r="C226" s="19"/>
      <c r="D226" s="19"/>
    </row>
    <row r="227" customFormat="false" ht="15" hidden="false" customHeight="false" outlineLevel="0" collapsed="false">
      <c r="A227" s="7" t="s">
        <v>29</v>
      </c>
      <c r="B227" s="7" t="s">
        <v>134</v>
      </c>
      <c r="C227" s="7" t="s">
        <v>135</v>
      </c>
      <c r="D227" s="7" t="s">
        <v>136</v>
      </c>
    </row>
    <row r="228" customFormat="false" ht="15" hidden="false" customHeight="false" outlineLevel="0" collapsed="false">
      <c r="A228" s="16" t="s">
        <v>346</v>
      </c>
      <c r="B228" s="16" t="n">
        <v>0.2</v>
      </c>
      <c r="C228" s="17" t="n">
        <v>299</v>
      </c>
      <c r="D228" s="17" t="n">
        <v>59.8</v>
      </c>
    </row>
    <row r="229" customFormat="false" ht="15" hidden="false" customHeight="false" outlineLevel="0" collapsed="false">
      <c r="A229" s="16" t="s">
        <v>347</v>
      </c>
      <c r="B229" s="16" t="n">
        <v>0.5</v>
      </c>
      <c r="C229" s="17" t="n">
        <v>254</v>
      </c>
      <c r="D229" s="17" t="n">
        <v>127</v>
      </c>
    </row>
    <row r="230" customFormat="false" ht="15" hidden="false" customHeight="false" outlineLevel="0" collapsed="false">
      <c r="A230" s="16" t="s">
        <v>348</v>
      </c>
      <c r="B230" s="16" t="n">
        <v>0.1</v>
      </c>
      <c r="C230" s="17" t="n">
        <v>260</v>
      </c>
      <c r="D230" s="17" t="n">
        <v>26</v>
      </c>
    </row>
    <row r="231" customFormat="false" ht="15" hidden="false" customHeight="false" outlineLevel="0" collapsed="false">
      <c r="A231" s="16" t="s">
        <v>349</v>
      </c>
      <c r="B231" s="16" t="n">
        <v>0</v>
      </c>
      <c r="C231" s="17" t="n">
        <v>333</v>
      </c>
      <c r="D231" s="17" t="n">
        <v>0</v>
      </c>
    </row>
    <row r="232" customFormat="false" ht="15" hidden="false" customHeight="false" outlineLevel="0" collapsed="false">
      <c r="A232" s="16" t="s">
        <v>350</v>
      </c>
      <c r="B232" s="16" t="n">
        <v>0.5</v>
      </c>
      <c r="C232" s="17" t="n">
        <v>333</v>
      </c>
      <c r="D232" s="17" t="n">
        <v>166.5</v>
      </c>
    </row>
    <row r="233" customFormat="false" ht="15" hidden="false" customHeight="false" outlineLevel="0" collapsed="false">
      <c r="A233" s="16" t="s">
        <v>351</v>
      </c>
      <c r="B233" s="16" t="n">
        <v>0</v>
      </c>
      <c r="C233" s="17" t="n">
        <v>14.15</v>
      </c>
      <c r="D233" s="17" t="n">
        <v>0</v>
      </c>
    </row>
    <row r="234" customFormat="false" ht="15" hidden="false" customHeight="false" outlineLevel="0" collapsed="false">
      <c r="A234" s="16" t="s">
        <v>352</v>
      </c>
      <c r="B234" s="16" t="n">
        <v>5</v>
      </c>
      <c r="C234" s="17" t="n">
        <v>14</v>
      </c>
      <c r="D234" s="17" t="n">
        <v>70</v>
      </c>
    </row>
    <row r="235" customFormat="false" ht="15" hidden="false" customHeight="false" outlineLevel="0" collapsed="false">
      <c r="A235" s="16" t="s">
        <v>353</v>
      </c>
      <c r="B235" s="16" t="n">
        <v>6</v>
      </c>
      <c r="C235" s="17" t="n">
        <v>2.5</v>
      </c>
      <c r="D235" s="17" t="n">
        <v>15</v>
      </c>
    </row>
    <row r="236" customFormat="false" ht="15" hidden="false" customHeight="false" outlineLevel="0" collapsed="false">
      <c r="A236" s="16" t="s">
        <v>354</v>
      </c>
      <c r="B236" s="16" t="n">
        <v>5</v>
      </c>
      <c r="C236" s="17" t="n">
        <v>2</v>
      </c>
      <c r="D236" s="17" t="n">
        <v>10</v>
      </c>
    </row>
    <row r="237" customFormat="false" ht="15" hidden="false" customHeight="false" outlineLevel="0" collapsed="false">
      <c r="A237" s="16" t="s">
        <v>355</v>
      </c>
      <c r="B237" s="16" t="n">
        <v>2</v>
      </c>
      <c r="C237" s="17" t="n">
        <v>118.87</v>
      </c>
      <c r="D237" s="17" t="n">
        <v>237.74</v>
      </c>
    </row>
    <row r="238" customFormat="false" ht="15" hidden="false" customHeight="false" outlineLevel="0" collapsed="false">
      <c r="A238" s="16" t="s">
        <v>356</v>
      </c>
      <c r="B238" s="16" t="n">
        <v>0.9</v>
      </c>
      <c r="C238" s="17" t="n">
        <v>98.5</v>
      </c>
      <c r="D238" s="17" t="n">
        <v>88.65</v>
      </c>
    </row>
    <row r="239" customFormat="false" ht="15" hidden="false" customHeight="false" outlineLevel="0" collapsed="false">
      <c r="A239" s="16" t="s">
        <v>357</v>
      </c>
      <c r="B239" s="16" t="n">
        <v>0.9</v>
      </c>
      <c r="C239" s="17" t="n">
        <v>60</v>
      </c>
      <c r="D239" s="17" t="n">
        <v>54</v>
      </c>
    </row>
    <row r="240" customFormat="false" ht="15" hidden="false" customHeight="false" outlineLevel="0" collapsed="false">
      <c r="A240" s="16" t="s">
        <v>358</v>
      </c>
      <c r="B240" s="16" t="n">
        <v>0.9</v>
      </c>
      <c r="C240" s="17" t="n">
        <v>112.5</v>
      </c>
      <c r="D240" s="17" t="n">
        <v>101.25</v>
      </c>
    </row>
    <row r="241" customFormat="false" ht="15" hidden="false" customHeight="false" outlineLevel="0" collapsed="false">
      <c r="A241" s="16" t="s">
        <v>359</v>
      </c>
      <c r="B241" s="16" t="n">
        <v>0</v>
      </c>
      <c r="C241" s="17" t="n">
        <v>16</v>
      </c>
      <c r="D241" s="17" t="n">
        <v>0</v>
      </c>
    </row>
    <row r="242" customFormat="false" ht="15" hidden="false" customHeight="false" outlineLevel="0" collapsed="false">
      <c r="A242" s="16" t="s">
        <v>360</v>
      </c>
      <c r="B242" s="16" t="n">
        <v>2</v>
      </c>
      <c r="C242" s="17" t="n">
        <v>39</v>
      </c>
      <c r="D242" s="17" t="n">
        <v>78</v>
      </c>
    </row>
    <row r="243" customFormat="false" ht="15" hidden="false" customHeight="false" outlineLevel="0" collapsed="false">
      <c r="A243" s="16" t="s">
        <v>361</v>
      </c>
      <c r="B243" s="16" t="n">
        <v>1.5</v>
      </c>
      <c r="C243" s="17" t="n">
        <v>24</v>
      </c>
      <c r="D243" s="17" t="n">
        <v>36</v>
      </c>
    </row>
    <row r="244" customFormat="false" ht="15" hidden="false" customHeight="false" outlineLevel="0" collapsed="false">
      <c r="A244" s="16" t="s">
        <v>362</v>
      </c>
      <c r="B244" s="16" t="n">
        <v>0.2</v>
      </c>
      <c r="C244" s="17" t="n">
        <v>107</v>
      </c>
      <c r="D244" s="17" t="n">
        <v>21.4</v>
      </c>
    </row>
    <row r="245" customFormat="false" ht="15" hidden="false" customHeight="false" outlineLevel="0" collapsed="false">
      <c r="A245" s="7" t="s">
        <v>363</v>
      </c>
      <c r="B245" s="18"/>
      <c r="C245" s="18"/>
      <c r="D245" s="8" t="n">
        <f aca="false">SUM(D228:D244)</f>
        <v>1091.34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2026-06-19T21:05:10Z</dcterms:created>
  <dc:creator>openpyxl</dc:creator>
  <dc:description/>
  <dc:language>en-US</dc:language>
  <cp:lastModifiedBy/>
  <dcterms:modified xsi:type="dcterms:W3CDTF">2026-06-19T21:05:10Z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